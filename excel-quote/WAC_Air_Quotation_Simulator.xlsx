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Master_DB" sheetId="1" state="visible" r:id="rId1"/>
    <sheet xmlns:r="http://schemas.openxmlformats.org/officeDocument/2006/relationships" name="입력" sheetId="2" state="visible" r:id="rId2"/>
    <sheet xmlns:r="http://schemas.openxmlformats.org/officeDocument/2006/relationships" name="견적서" sheetId="3" state="visible" r:id="rId3"/>
  </sheets>
  <definedNames>
    <definedName name="_xlnm.Print_Area" localSheetId="2">'견적서'!$B$2:$G$42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35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1A2A3A"/>
      <sz val="16"/>
    </font>
    <font>
      <name val="Malgun Gothic"/>
      <charset val="129"/>
      <family val="3"/>
      <color rgb="FF64748B"/>
      <sz val="10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1A2A3A"/>
      <sz val="12"/>
    </font>
    <font>
      <name val="Malgun Gothic"/>
      <charset val="129"/>
      <family val="3"/>
      <color rgb="FF64748B"/>
      <sz val="9"/>
    </font>
    <font>
      <name val="Malgun Gothic"/>
      <charset val="129"/>
      <family val="3"/>
      <b val="1"/>
      <color rgb="FFF05023"/>
      <sz val="12"/>
    </font>
    <font>
      <name val="Malgun Gothic"/>
      <charset val="129"/>
      <family val="3"/>
      <b val="1"/>
      <color rgb="FF1A2A3A"/>
      <sz val="11"/>
    </font>
    <font>
      <name val="Malgun Gothic"/>
      <charset val="129"/>
      <family val="3"/>
      <b val="1"/>
      <color rgb="FFFFFFFF"/>
      <sz val="15"/>
    </font>
    <font>
      <name val="Malgun Gothic"/>
      <charset val="129"/>
      <family val="3"/>
      <b val="1"/>
      <color rgb="FF1A2A3A"/>
      <sz val="9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b val="1"/>
      <color rgb="FF1A2A3A"/>
      <sz val="10"/>
    </font>
    <font>
      <name val="Malgun Gothic"/>
      <charset val="129"/>
      <family val="3"/>
      <b val="1"/>
      <color rgb="FFFFFFFF"/>
      <sz val="9"/>
    </font>
    <font>
      <name val="Malgun Gothic"/>
      <charset val="129"/>
      <family val="3"/>
      <b val="1"/>
      <color rgb="FF166534"/>
      <sz val="12"/>
    </font>
    <font>
      <name val="Malgun Gothic"/>
      <charset val="129"/>
      <family val="3"/>
      <color rgb="FF1A2A3A"/>
      <sz val="11"/>
    </font>
    <font>
      <name val="Malgun Gothic"/>
      <charset val="129"/>
      <family val="3"/>
      <color rgb="FF1A2A3A"/>
      <sz val="9"/>
    </font>
    <font>
      <name val="Malgun Gothic"/>
      <charset val="129"/>
      <family val="3"/>
      <color rgb="FF1A2A3A"/>
      <sz val="10"/>
    </font>
    <font>
      <name val="Malgun Gothic"/>
      <charset val="129"/>
      <family val="3"/>
      <b val="1"/>
      <color rgb="FFFFFFFF"/>
      <sz val="14"/>
    </font>
    <font>
      <name val="Malgun Gothic"/>
      <charset val="129"/>
      <family val="3"/>
      <b val="1"/>
      <color rgb="FF166534"/>
      <sz val="11"/>
    </font>
    <font>
      <name val="맑은 고딕"/>
      <charset val="129"/>
      <family val="3"/>
      <sz val="8"/>
      <scheme val="minor"/>
    </font>
    <font>
      <name val="Malgun Gothic"/>
      <charset val="129"/>
      <family val="3"/>
      <color rgb="FF1A2A3A"/>
      <sz val="10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1A2A3A"/>
      <sz val="11"/>
    </font>
    <font>
      <name val="Malgun Gothic"/>
      <charset val="129"/>
      <family val="3"/>
      <color rgb="FF64748B"/>
      <sz val="9"/>
    </font>
    <font>
      <name val="Malgun Gothic"/>
      <charset val="129"/>
      <family val="3"/>
      <b val="1"/>
      <color rgb="FF1A2A3A"/>
      <sz val="10"/>
    </font>
    <font>
      <name val="Malgun Gothic"/>
      <charset val="129"/>
      <family val="3"/>
      <b val="1"/>
      <color rgb="FFFFFFFF"/>
      <sz val="11"/>
    </font>
    <font>
      <name val="Malgun Gothic"/>
      <charset val="129"/>
      <family val="3"/>
      <b val="1"/>
      <color rgb="FF1A2A3A"/>
      <sz val="18"/>
    </font>
    <font>
      <name val="Malgun Gothic"/>
      <charset val="129"/>
      <family val="3"/>
      <color rgb="FF1A2A3A"/>
      <sz val="11"/>
    </font>
    <font>
      <name val="Malgun Gothic"/>
      <charset val="129"/>
      <family val="3"/>
      <b val="1"/>
      <color rgb="FF166534"/>
      <sz val="11"/>
    </font>
    <font>
      <name val="맑은 고딕"/>
      <charset val="129"/>
      <family val="3"/>
      <sz val="11"/>
      <scheme val="minor"/>
    </font>
    <font>
      <name val="Malgun Gothic"/>
      <charset val="129"/>
      <family val="3"/>
      <b val="1"/>
      <color rgb="FFFFFFFF"/>
      <sz val="10"/>
    </font>
    <font>
      <name val="Malgun Gothic"/>
      <charset val="129"/>
      <family val="3"/>
      <b val="1"/>
      <color rgb="FF1A2A3A"/>
      <sz val="10"/>
    </font>
    <font>
      <name val="Malgun Gothic"/>
      <charset val="129"/>
      <family val="3"/>
      <b val="1"/>
      <color rgb="FF166534"/>
      <sz val="11"/>
    </font>
    <font>
      <name val="Malgun Gothic"/>
      <charset val="129"/>
      <family val="3"/>
      <color rgb="FF64748B"/>
      <sz val="9"/>
    </font>
    <font>
      <name val="Malgun Gothic"/>
      <charset val="129"/>
      <family val="3"/>
      <color rgb="FF1A2A3A"/>
      <sz val="10"/>
    </font>
  </fonts>
  <fills count="24">
    <fill>
      <patternFill/>
    </fill>
    <fill>
      <patternFill patternType="gray125"/>
    </fill>
    <fill>
      <patternFill patternType="solid">
        <fgColor rgb="FF1A2A3A"/>
      </patternFill>
    </fill>
    <fill>
      <patternFill patternType="solid">
        <fgColor rgb="FFFFF3D6"/>
      </patternFill>
    </fill>
    <fill>
      <patternFill patternType="solid">
        <fgColor rgb="FFFFF7F2"/>
      </patternFill>
    </fill>
    <fill>
      <patternFill patternType="solid">
        <fgColor rgb="FFFFFFFF"/>
      </patternFill>
    </fill>
    <fill>
      <patternFill patternType="solid">
        <fgColor rgb="FFF05023"/>
      </patternFill>
    </fill>
    <fill>
      <patternFill patternType="solid">
        <fgColor rgb="FF334155"/>
      </patternFill>
    </fill>
    <fill>
      <patternFill patternType="solid">
        <fgColor rgb="FFF5F7F9"/>
      </patternFill>
    </fill>
    <fill>
      <patternFill patternType="solid">
        <fgColor rgb="FFE8F5E9"/>
      </patternFill>
    </fill>
    <fill>
      <patternFill patternType="solid">
        <fgColor rgb="FFFFFFFF"/>
      </patternFill>
    </fill>
    <fill>
      <patternFill patternType="solid">
        <fgColor rgb="FFF5F7F9"/>
      </patternFill>
    </fill>
    <fill>
      <patternFill patternType="solid">
        <fgColor rgb="FF1A2A3A"/>
      </patternFill>
    </fill>
    <fill>
      <patternFill patternType="solid">
        <fgColor rgb="FFFFF3D6"/>
      </patternFill>
    </fill>
    <fill>
      <patternFill patternType="solid">
        <fgColor rgb="FFFFF7F2"/>
      </patternFill>
    </fill>
    <fill>
      <patternFill patternType="solid">
        <fgColor rgb="FFF05023"/>
      </patternFill>
    </fill>
    <fill>
      <patternFill patternType="solid">
        <fgColor rgb="FFE8F5E9"/>
      </patternFill>
    </fill>
    <fill>
      <patternFill patternType="solid">
        <fgColor rgb="FF334155"/>
      </patternFill>
    </fill>
    <fill>
      <patternFill patternType="solid">
        <fgColor rgb="FF1A2A3A"/>
      </patternFill>
    </fill>
    <fill>
      <patternFill patternType="solid">
        <fgColor rgb="FFFFF3D6"/>
      </patternFill>
    </fill>
    <fill>
      <patternFill patternType="solid">
        <fgColor rgb="FFE8F5E9"/>
      </patternFill>
    </fill>
    <fill>
      <patternFill patternType="solid">
        <fgColor rgb="FFF5F7F9"/>
      </patternFill>
    </fill>
    <fill>
      <patternFill patternType="solid">
        <fgColor rgb="FFFFFFFF"/>
      </patternFill>
    </fill>
    <fill>
      <patternFill patternType="solid">
        <fgColor rgb="FF334155"/>
      </patternFill>
    </fill>
  </fills>
  <borders count="1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/>
      <diagonal/>
    </border>
    <border>
      <left/>
      <right/>
      <top style="thin">
        <color rgb="FFE2E8F0"/>
      </top>
      <bottom/>
      <diagonal/>
    </border>
    <border>
      <left/>
      <right style="thin">
        <color rgb="FFE2E8F0"/>
      </right>
      <top style="thin">
        <color rgb="FFE2E8F0"/>
      </top>
      <bottom/>
      <diagonal/>
    </border>
    <border>
      <left style="thin">
        <color rgb="FFE2E8F0"/>
      </left>
      <right/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/>
      <top/>
      <bottom/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5"/>
  </cellStyleXfs>
  <cellXfs count="122">
    <xf numFmtId="0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1" pivotButton="0" quotePrefix="0" xfId="0"/>
    <xf numFmtId="1" fontId="4" fillId="3" borderId="1" applyAlignment="1" applyProtection="1" pivotButton="0" quotePrefix="0" xfId="0">
      <alignment horizontal="center" vertical="center"/>
      <protection locked="0" hidden="0"/>
    </xf>
    <xf numFmtId="0" fontId="5" fillId="0" borderId="0" pivotButton="0" quotePrefix="0" xfId="0"/>
    <xf numFmtId="0" fontId="6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1" fontId="7" fillId="4" borderId="1" applyAlignment="1" applyProtection="1" pivotButton="0" quotePrefix="0" xfId="0">
      <alignment horizontal="center" vertical="center"/>
      <protection locked="0" hidden="0"/>
    </xf>
    <xf numFmtId="0" fontId="0" fillId="8" borderId="1" pivotButton="0" quotePrefix="0" xfId="0"/>
    <xf numFmtId="1" fontId="13" fillId="9" borderId="1" applyAlignment="1" pivotButton="0" quotePrefix="0" xfId="0">
      <alignment horizontal="center" vertical="center"/>
    </xf>
    <xf numFmtId="164" fontId="14" fillId="5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2" fontId="13" fillId="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49" fontId="14" fillId="5" borderId="1" applyAlignment="1" pivotButton="0" quotePrefix="0" xfId="0">
      <alignment horizontal="center" vertical="center"/>
    </xf>
    <xf numFmtId="1" fontId="14" fillId="5" borderId="1" applyAlignment="1" pivotButton="0" quotePrefix="0" xfId="0">
      <alignment horizontal="center" vertical="center"/>
    </xf>
    <xf numFmtId="2" fontId="18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/>
    </xf>
    <xf numFmtId="164" fontId="18" fillId="9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1" fillId="12" borderId="4" applyAlignment="1" pivotButton="0" quotePrefix="0" xfId="0">
      <alignment horizontal="center"/>
    </xf>
    <xf numFmtId="0" fontId="22" fillId="14" borderId="1" applyAlignment="1" applyProtection="1" pivotButton="0" quotePrefix="0" xfId="0">
      <alignment horizontal="center"/>
      <protection locked="0" hidden="0"/>
    </xf>
    <xf numFmtId="2" fontId="0" fillId="13" borderId="4" applyAlignment="1" applyProtection="1" pivotButton="0" quotePrefix="0" xfId="0">
      <alignment horizontal="center"/>
      <protection locked="0" hidden="0"/>
    </xf>
    <xf numFmtId="0" fontId="22" fillId="14" borderId="4" applyAlignment="1" applyProtection="1" pivotButton="0" quotePrefix="0" xfId="0">
      <alignment horizontal="center"/>
      <protection locked="0" hidden="0"/>
    </xf>
    <xf numFmtId="0" fontId="3" fillId="0" borderId="5" pivotButton="0" quotePrefix="0" xfId="0"/>
    <xf numFmtId="0" fontId="0" fillId="0" borderId="5" pivotButton="0" quotePrefix="0" xfId="0"/>
    <xf numFmtId="0" fontId="0" fillId="13" borderId="4" applyAlignment="1" applyProtection="1" pivotButton="0" quotePrefix="0" xfId="0">
      <alignment horizontal="left" vertical="center"/>
      <protection locked="0" hidden="0"/>
    </xf>
    <xf numFmtId="0" fontId="0" fillId="13" borderId="4" applyAlignment="1" applyProtection="1" pivotButton="0" quotePrefix="0" xfId="0">
      <alignment horizontal="center" vertical="center"/>
      <protection locked="0" hidden="0"/>
    </xf>
    <xf numFmtId="2" fontId="0" fillId="13" borderId="4" applyAlignment="1" applyProtection="1" pivotButton="0" quotePrefix="0" xfId="0">
      <alignment horizontal="center" vertical="center"/>
      <protection locked="0" hidden="0"/>
    </xf>
    <xf numFmtId="0" fontId="24" fillId="11" borderId="4" applyAlignment="1" pivotButton="0" quotePrefix="0" xfId="0">
      <alignment horizontal="left" vertical="center" indent="1"/>
    </xf>
    <xf numFmtId="2" fontId="22" fillId="1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 vertical="center" wrapText="1"/>
    </xf>
    <xf numFmtId="49" fontId="7" fillId="0" borderId="5" applyAlignment="1" pivotButton="0" quotePrefix="0" xfId="0">
      <alignment horizontal="center" vertical="center"/>
    </xf>
    <xf numFmtId="2" fontId="7" fillId="0" borderId="5" applyAlignment="1" pivotButton="0" quotePrefix="0" xfId="0">
      <alignment horizontal="center" vertical="center"/>
    </xf>
    <xf numFmtId="0" fontId="24" fillId="0" borderId="4" pivotButton="0" quotePrefix="0" xfId="0"/>
    <xf numFmtId="0" fontId="29" fillId="13" borderId="4" applyAlignment="1" applyProtection="1" pivotButton="0" quotePrefix="0" xfId="0">
      <alignment horizontal="left" vertical="center"/>
      <protection locked="0" hidden="0"/>
    </xf>
    <xf numFmtId="0" fontId="30" fillId="18" borderId="11" applyAlignment="1" pivotButton="0" quotePrefix="0" xfId="0">
      <alignment horizontal="center" vertical="center"/>
    </xf>
    <xf numFmtId="2" fontId="0" fillId="19" borderId="11" applyAlignment="1" applyProtection="1" pivotButton="0" quotePrefix="0" xfId="0">
      <alignment horizontal="center"/>
      <protection locked="0" hidden="0"/>
    </xf>
    <xf numFmtId="0" fontId="31" fillId="19" borderId="11" applyAlignment="1" applyProtection="1" pivotButton="0" quotePrefix="0" xfId="0">
      <alignment horizontal="center" vertical="center"/>
      <protection locked="0" hidden="0"/>
    </xf>
    <xf numFmtId="0" fontId="31" fillId="21" borderId="11" applyAlignment="1" pivotButton="0" quotePrefix="0" xfId="0">
      <alignment horizontal="left" vertical="center" indent="1"/>
    </xf>
    <xf numFmtId="0" fontId="31" fillId="21" borderId="11" applyAlignment="1" pivotButton="0" quotePrefix="0" xfId="0">
      <alignment horizontal="center" vertical="center"/>
    </xf>
    <xf numFmtId="0" fontId="31" fillId="22" borderId="11" applyAlignment="1" pivotButton="0" quotePrefix="0" xfId="0">
      <alignment horizontal="center" vertical="center"/>
    </xf>
    <xf numFmtId="0" fontId="30" fillId="23" borderId="11" applyAlignment="1" pivotButton="0" quotePrefix="0" xfId="0">
      <alignment horizontal="center" vertical="center"/>
    </xf>
    <xf numFmtId="4" fontId="20" fillId="10" borderId="4" applyAlignment="1" pivotButton="0" quotePrefix="0" xfId="0">
      <alignment horizontal="right" vertical="center"/>
    </xf>
    <xf numFmtId="4" fontId="20" fillId="10" borderId="4" applyAlignment="1" applyProtection="1" pivotButton="0" quotePrefix="0" xfId="0">
      <alignment horizontal="right" vertical="center"/>
      <protection locked="0" hidden="0"/>
    </xf>
    <xf numFmtId="4" fontId="20" fillId="11" borderId="4" applyAlignment="1" pivotButton="0" quotePrefix="0" xfId="0">
      <alignment horizontal="right" vertical="center"/>
    </xf>
    <xf numFmtId="4" fontId="20" fillId="11" borderId="4" applyAlignment="1" applyProtection="1" pivotButton="0" quotePrefix="0" xfId="0">
      <alignment horizontal="right" vertical="center"/>
      <protection locked="0" hidden="0"/>
    </xf>
    <xf numFmtId="4" fontId="16" fillId="8" borderId="1" applyAlignment="1" pivotButton="0" quotePrefix="0" xfId="0">
      <alignment horizontal="right" vertical="center"/>
    </xf>
    <xf numFmtId="4" fontId="11" fillId="3" borderId="1" applyAlignment="1" applyProtection="1" pivotButton="0" quotePrefix="0" xfId="0">
      <alignment horizontal="right" vertical="center"/>
      <protection locked="0" hidden="0"/>
    </xf>
    <xf numFmtId="4" fontId="16" fillId="5" borderId="1" applyAlignment="1" pivotButton="0" quotePrefix="0" xfId="0">
      <alignment horizontal="right" vertical="center"/>
    </xf>
    <xf numFmtId="4" fontId="24" fillId="10" borderId="4" applyAlignment="1" pivotButton="0" quotePrefix="0" xfId="0">
      <alignment horizontal="right" vertical="center"/>
    </xf>
    <xf numFmtId="4" fontId="24" fillId="13" borderId="4" applyAlignment="1" applyProtection="1" pivotButton="0" quotePrefix="0" xfId="0">
      <alignment horizontal="right" vertical="center"/>
      <protection locked="0" hidden="0"/>
    </xf>
    <xf numFmtId="0" fontId="23" fillId="0" borderId="5" pivotButton="0" quotePrefix="0" xfId="0"/>
    <xf numFmtId="0" fontId="0" fillId="0" borderId="0" pivotButton="0" quotePrefix="0" xfId="0"/>
    <xf numFmtId="0" fontId="2" fillId="0" borderId="5" pivotButton="0" quotePrefix="0" xfId="0"/>
    <xf numFmtId="0" fontId="1" fillId="0" borderId="5" pivotButton="0" quotePrefix="0" xfId="0"/>
    <xf numFmtId="0" fontId="15" fillId="8" borderId="11" applyAlignment="1" pivotButton="0" quotePrefix="0" xfId="0">
      <alignment horizontal="center" vertical="center"/>
    </xf>
    <xf numFmtId="0" fontId="0" fillId="0" borderId="2" pivotButton="0" quotePrefix="0" xfId="0"/>
    <xf numFmtId="0" fontId="8" fillId="2" borderId="11" applyAlignment="1" pivotButton="0" quotePrefix="0" xfId="0">
      <alignment horizontal="left" vertical="center" indent="1"/>
    </xf>
    <xf numFmtId="0" fontId="0" fillId="0" borderId="3" pivotButton="0" quotePrefix="0" xfId="0"/>
    <xf numFmtId="165" fontId="22" fillId="13" borderId="11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0" fontId="22" fillId="10" borderId="11" applyAlignment="1" pivotButton="0" quotePrefix="0" xfId="0">
      <alignment horizontal="left" vertical="center" indent="1"/>
    </xf>
    <xf numFmtId="0" fontId="32" fillId="20" borderId="11" applyAlignment="1" applyProtection="1" pivotButton="0" quotePrefix="0" xfId="0">
      <alignment horizontal="center" vertical="center"/>
      <protection locked="0" hidden="0"/>
    </xf>
    <xf numFmtId="49" fontId="4" fillId="4" borderId="11" applyAlignment="1" applyProtection="1" pivotButton="0" quotePrefix="0" xfId="0">
      <alignment horizontal="center" vertical="center"/>
      <protection locked="0" hidden="0"/>
    </xf>
    <xf numFmtId="0" fontId="20" fillId="11" borderId="11" applyAlignment="1" pivotButton="0" quotePrefix="0" xfId="0">
      <alignment horizontal="center" vertical="center"/>
    </xf>
    <xf numFmtId="0" fontId="11" fillId="8" borderId="11" applyAlignment="1" pivotButton="0" quotePrefix="0" xfId="0">
      <alignment horizontal="left" vertical="center" indent="1"/>
    </xf>
    <xf numFmtId="0" fontId="3" fillId="7" borderId="11" applyAlignment="1" pivotButton="0" quotePrefix="0" xfId="0">
      <alignment horizontal="center" vertical="center"/>
    </xf>
    <xf numFmtId="0" fontId="27" fillId="11" borderId="11" applyAlignment="1" pivotButton="0" quotePrefix="0" xfId="0">
      <alignment horizontal="center"/>
    </xf>
    <xf numFmtId="2" fontId="13" fillId="9" borderId="11" applyAlignment="1" pivotButton="0" quotePrefix="0" xfId="0">
      <alignment horizontal="center" vertical="center"/>
    </xf>
    <xf numFmtId="0" fontId="11" fillId="5" borderId="11" applyAlignment="1" pivotButton="0" quotePrefix="0" xfId="0">
      <alignment horizontal="left" vertical="center" indent="1"/>
    </xf>
    <xf numFmtId="0" fontId="15" fillId="5" borderId="11" applyAlignment="1" pivotButton="0" quotePrefix="0" xfId="0">
      <alignment horizontal="center" vertical="center"/>
    </xf>
    <xf numFmtId="0" fontId="7" fillId="14" borderId="11" applyAlignment="1" applyProtection="1" pivotButton="0" quotePrefix="0" xfId="0">
      <alignment horizontal="left" vertical="center" indent="1"/>
      <protection locked="0" hidden="0"/>
    </xf>
    <xf numFmtId="1" fontId="4" fillId="4" borderId="11" applyAlignment="1" applyProtection="1" pivotButton="0" quotePrefix="0" xfId="0">
      <alignment horizontal="center" vertical="center"/>
      <protection locked="0" hidden="0"/>
    </xf>
    <xf numFmtId="2" fontId="14" fillId="5" borderId="11" applyAlignment="1" pivotButton="0" quotePrefix="0" xfId="0">
      <alignment horizontal="center" vertical="center"/>
    </xf>
    <xf numFmtId="4" fontId="26" fillId="14" borderId="11" applyAlignment="1" pivotButton="0" quotePrefix="0" xfId="0">
      <alignment horizontal="right" vertical="center"/>
    </xf>
    <xf numFmtId="4" fontId="0" fillId="0" borderId="7" applyAlignment="1" pivotButton="0" quotePrefix="0" xfId="0">
      <alignment horizontal="right" vertical="center"/>
    </xf>
    <xf numFmtId="4" fontId="0" fillId="0" borderId="8" applyAlignment="1" pivotButton="0" quotePrefix="0" xfId="0">
      <alignment horizontal="right" vertical="center"/>
    </xf>
    <xf numFmtId="4" fontId="0" fillId="0" borderId="9" applyAlignment="1" pivotButton="0" quotePrefix="0" xfId="0">
      <alignment horizontal="right" vertical="center"/>
    </xf>
    <xf numFmtId="0" fontId="25" fillId="15" borderId="1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  <xf numFmtId="0" fontId="10" fillId="2" borderId="11" applyAlignment="1" pivotButton="0" quotePrefix="0" xfId="0">
      <alignment horizontal="left" vertical="center" indent="1"/>
    </xf>
    <xf numFmtId="49" fontId="14" fillId="5" borderId="11" applyAlignment="1" pivotButton="0" quotePrefix="0" xfId="0">
      <alignment horizontal="center" vertical="center"/>
    </xf>
    <xf numFmtId="2" fontId="28" fillId="16" borderId="11" applyAlignment="1" pivotButton="0" quotePrefix="0" xfId="0">
      <alignment horizontal="center"/>
    </xf>
    <xf numFmtId="0" fontId="33" fillId="0" borderId="5" applyAlignment="1" pivotButton="0" quotePrefix="0" xfId="0">
      <alignment horizontal="left" vertical="center" wrapText="1"/>
    </xf>
    <xf numFmtId="0" fontId="5" fillId="0" borderId="5" applyAlignment="1" pivotButton="0" quotePrefix="0" xfId="0">
      <alignment horizontal="left" vertical="center" indent="1"/>
    </xf>
    <xf numFmtId="0" fontId="10" fillId="6" borderId="11" applyAlignment="1" pivotButton="0" quotePrefix="0" xfId="0">
      <alignment horizontal="left" vertical="center" indent="1"/>
    </xf>
    <xf numFmtId="164" fontId="14" fillId="5" borderId="11" applyAlignment="1" pivotButton="0" quotePrefix="0" xfId="0">
      <alignment horizontal="center" vertical="center"/>
    </xf>
    <xf numFmtId="0" fontId="31" fillId="19" borderId="11" applyAlignment="1" applyProtection="1" pivotButton="0" quotePrefix="0" xfId="0">
      <alignment horizontal="center" vertical="center"/>
      <protection locked="0" hidden="0"/>
    </xf>
    <xf numFmtId="0" fontId="31" fillId="19" borderId="11" applyAlignment="1" applyProtection="1" pivotButton="0" quotePrefix="0" xfId="0">
      <alignment horizontal="left" vertical="center" wrapText="1" indent="1"/>
      <protection locked="0" hidden="0"/>
    </xf>
    <xf numFmtId="0" fontId="0" fillId="0" borderId="3" applyProtection="1" pivotButton="0" quotePrefix="0" xfId="0">
      <protection locked="0" hidden="0"/>
    </xf>
    <xf numFmtId="0" fontId="17" fillId="2" borderId="11" applyAlignment="1" pivotButton="0" quotePrefix="0" xfId="0">
      <alignment horizontal="left" vertical="center" indent="1"/>
    </xf>
    <xf numFmtId="4" fontId="27" fillId="11" borderId="11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0" fontId="21" fillId="17" borderId="9" applyAlignment="1" pivotButton="0" quotePrefix="0" xfId="0">
      <alignment horizontal="center"/>
    </xf>
    <xf numFmtId="0" fontId="22" fillId="11" borderId="11" applyAlignment="1" pivotButton="0" quotePrefix="0" xfId="0">
      <alignment horizontal="left" vertical="center" indent="1"/>
    </xf>
    <xf numFmtId="0" fontId="31" fillId="22" borderId="11" applyAlignment="1" pivotButton="0" quotePrefix="0" xfId="0">
      <alignment horizontal="center" vertical="center" wrapText="1"/>
    </xf>
    <xf numFmtId="0" fontId="10" fillId="2" borderId="11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 vertical="center"/>
    </xf>
    <xf numFmtId="0" fontId="21" fillId="17" borderId="11" applyAlignment="1" pivotButton="0" quotePrefix="0" xfId="0">
      <alignment horizontal="center"/>
    </xf>
    <xf numFmtId="0" fontId="3" fillId="2" borderId="11" applyAlignment="1" pivotButton="0" quotePrefix="0" xfId="0">
      <alignment horizontal="center" vertical="center"/>
    </xf>
    <xf numFmtId="0" fontId="25" fillId="12" borderId="11" applyAlignment="1" pivotButton="0" quotePrefix="0" xfId="0">
      <alignment horizontal="left" vertical="center" indent="1"/>
    </xf>
    <xf numFmtId="0" fontId="5" fillId="0" borderId="5" pivotButton="0" quotePrefix="0" xfId="0"/>
    <xf numFmtId="0" fontId="34" fillId="21" borderId="11" applyAlignment="1" pivotButton="0" quotePrefix="0" xfId="0">
      <alignment horizontal="left" vertical="center" wrapText="1" indent="1"/>
    </xf>
    <xf numFmtId="164" fontId="14" fillId="5" borderId="1" applyAlignment="1" pivotButton="0" quotePrefix="0" xfId="0">
      <alignment horizontal="center" vertical="center"/>
    </xf>
    <xf numFmtId="164" fontId="13" fillId="9" borderId="1" applyAlignment="1" pivotButton="0" quotePrefix="0" xfId="0">
      <alignment horizontal="center" vertical="center"/>
    </xf>
    <xf numFmtId="164" fontId="14" fillId="5" borderId="11" applyAlignment="1" pivotButton="0" quotePrefix="0" xfId="0">
      <alignment horizontal="center" vertical="center"/>
    </xf>
    <xf numFmtId="165" fontId="22" fillId="13" borderId="11" applyAlignment="1" applyProtection="1" pivotButton="0" quotePrefix="0" xfId="0">
      <alignment horizontal="center"/>
      <protection locked="0" hidden="0"/>
    </xf>
    <xf numFmtId="164" fontId="18" fillId="9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topLeftCell="A17" workbookViewId="0">
      <selection activeCell="C17" sqref="C17"/>
    </sheetView>
  </sheetViews>
  <sheetFormatPr baseColWidth="8" defaultRowHeight="17.4"/>
  <cols>
    <col width="28" customWidth="1" style="62" min="1" max="1"/>
    <col width="14" customWidth="1" style="62" min="2" max="2"/>
    <col width="12" customWidth="1" style="62" min="3" max="4"/>
    <col width="18" customWidth="1" style="62" min="5" max="5"/>
    <col width="12" customWidth="1" style="62" min="6" max="7"/>
    <col width="14" customWidth="1" style="62" min="8" max="8"/>
    <col width="8" customWidth="1" style="62" min="10" max="10"/>
  </cols>
  <sheetData>
    <row r="1" ht="25.2" customHeight="1" s="62">
      <c r="A1" s="64" t="inlineStr">
        <is>
          <t>Master_DB  (Backend)</t>
        </is>
      </c>
    </row>
    <row r="2">
      <c r="A2" s="63" t="inlineStr">
        <is>
          <t>노란 칸만 갱신 → 입력 시트 단가 자동 연동</t>
        </is>
      </c>
    </row>
    <row r="4">
      <c r="A4" s="1" t="inlineStr">
        <is>
          <t>PARAMETERS</t>
        </is>
      </c>
      <c r="B4" s="2" t="n"/>
    </row>
    <row r="5" ht="19.2" customHeight="1" s="62">
      <c r="A5" s="3" t="inlineStr">
        <is>
          <t>Vol factor (kg/CBM)</t>
        </is>
      </c>
      <c r="B5" s="4" t="n">
        <v>167</v>
      </c>
      <c r="D5" s="5" t="inlineStr">
        <is>
          <t>CBM x 167 = 부피중량</t>
        </is>
      </c>
    </row>
    <row r="6" ht="19.2" customHeight="1" s="62">
      <c r="A6" s="3" t="inlineStr">
        <is>
          <t>CBM divisor (cm)</t>
        </is>
      </c>
      <c r="B6" s="4" t="n">
        <v>1000000</v>
      </c>
      <c r="D6" s="5" t="inlineStr">
        <is>
          <t>L x W x H x Qty / 1,000,000</t>
        </is>
      </c>
    </row>
    <row r="8">
      <c r="A8" s="1" t="inlineStr">
        <is>
          <t>WEIGHT BREAK (kg)</t>
        </is>
      </c>
      <c r="B8" s="2" t="n"/>
    </row>
    <row r="9" ht="19.2" customHeight="1" s="62">
      <c r="A9" s="3" t="inlineStr">
        <is>
          <t>WB_45</t>
        </is>
      </c>
      <c r="B9" s="4" t="n">
        <v>45</v>
      </c>
    </row>
    <row r="10" ht="19.2" customHeight="1" s="62">
      <c r="A10" s="3" t="inlineStr">
        <is>
          <t>WB_100</t>
        </is>
      </c>
      <c r="B10" s="4" t="n">
        <v>100</v>
      </c>
    </row>
    <row r="11" ht="19.2" customHeight="1" s="62">
      <c r="A11" s="3" t="inlineStr">
        <is>
          <t>WB_500</t>
        </is>
      </c>
      <c r="B11" s="4" t="n">
        <v>500</v>
      </c>
    </row>
    <row r="12" ht="19.2" customHeight="1" s="62">
      <c r="A12" s="3" t="inlineStr">
        <is>
          <t>WB_1000</t>
        </is>
      </c>
      <c r="B12" s="4" t="n">
        <v>1000</v>
      </c>
    </row>
    <row r="14" ht="19.2" customHeight="1" s="62">
      <c r="A14" s="6" t="inlineStr">
        <is>
          <t>1. Air freight &amp; surcharge</t>
        </is>
      </c>
    </row>
    <row r="15">
      <c r="A15" s="29" t="inlineStr">
        <is>
          <t>ROUTE</t>
        </is>
      </c>
      <c r="B15" s="29" t="inlineStr">
        <is>
          <t>MIN</t>
        </is>
      </c>
      <c r="C15" s="29" t="inlineStr">
        <is>
          <t>-45</t>
        </is>
      </c>
      <c r="D15" s="29" t="inlineStr">
        <is>
          <t>+45</t>
        </is>
      </c>
      <c r="E15" s="29" t="inlineStr">
        <is>
          <t>+100</t>
        </is>
      </c>
      <c r="F15" s="29" t="inlineStr">
        <is>
          <t>+500</t>
        </is>
      </c>
      <c r="G15" s="29" t="inlineStr">
        <is>
          <t>+1000</t>
        </is>
      </c>
      <c r="H15" s="29" t="inlineStr">
        <is>
          <t>FSC/kg</t>
        </is>
      </c>
      <c r="I15" s="29" t="inlineStr">
        <is>
          <t>SSC/kg</t>
        </is>
      </c>
      <c r="J15" s="45" t="inlineStr">
        <is>
          <t>CUR</t>
        </is>
      </c>
    </row>
    <row r="16">
      <c r="A16" s="30" t="inlineStr">
        <is>
          <t>ICN-HKG</t>
        </is>
      </c>
      <c r="B16" s="31" t="n">
        <v>50</v>
      </c>
      <c r="C16" s="46" t="n"/>
      <c r="D16" s="31" t="n">
        <v>4.5</v>
      </c>
      <c r="E16" s="31" t="n">
        <v>3.8</v>
      </c>
      <c r="F16" s="31" t="n">
        <v>3.2</v>
      </c>
      <c r="G16" s="31" t="n">
        <v>2.8</v>
      </c>
      <c r="H16" s="31" t="n">
        <v>0.6</v>
      </c>
      <c r="I16" s="31" t="n">
        <v>0.15</v>
      </c>
      <c r="J16" s="101" t="inlineStr">
        <is>
          <t>USD</t>
        </is>
      </c>
    </row>
    <row r="17">
      <c r="A17" s="30" t="inlineStr">
        <is>
          <t>ICN-LAX</t>
        </is>
      </c>
      <c r="B17" s="31" t="n">
        <v>90</v>
      </c>
      <c r="C17" s="46" t="n"/>
      <c r="D17" s="31" t="n">
        <v>8.5</v>
      </c>
      <c r="E17" s="31" t="n">
        <v>7.2</v>
      </c>
      <c r="F17" s="31" t="n">
        <v>6.5</v>
      </c>
      <c r="G17" s="31" t="n">
        <v>5.8</v>
      </c>
      <c r="H17" s="31" t="n">
        <v>1.2</v>
      </c>
      <c r="I17" s="31" t="n">
        <v>0.25</v>
      </c>
      <c r="J17" s="101" t="inlineStr">
        <is>
          <t>USD</t>
        </is>
      </c>
    </row>
    <row r="18">
      <c r="A18" s="32" t="inlineStr">
        <is>
          <t>HKG-ICN</t>
        </is>
      </c>
      <c r="B18" s="31" t="n">
        <v>650</v>
      </c>
      <c r="C18" s="31" t="n">
        <v>50</v>
      </c>
      <c r="D18" s="31" t="n">
        <v>30</v>
      </c>
      <c r="E18" s="31" t="n">
        <v>25</v>
      </c>
      <c r="F18" s="31" t="n">
        <v>30</v>
      </c>
      <c r="G18" s="31" t="n">
        <v>30</v>
      </c>
      <c r="H18" s="31" t="n">
        <v>2.1</v>
      </c>
      <c r="I18" s="31" t="n">
        <v>2</v>
      </c>
      <c r="J18" s="101" t="inlineStr">
        <is>
          <t>HKD</t>
        </is>
      </c>
    </row>
    <row r="19" ht="19.2" customHeight="1" s="62">
      <c r="A19" s="6" t="inlineStr">
        <is>
          <t>2. Local charges (참고 단가 · 입력 시트 참고/예외)</t>
        </is>
      </c>
    </row>
    <row r="20">
      <c r="A20" s="29" t="inlineStr">
        <is>
          <t>Charge Item</t>
        </is>
      </c>
      <c r="B20" s="29" t="inlineStr">
        <is>
          <t>Unit</t>
        </is>
      </c>
      <c r="C20" s="29" t="inlineStr">
        <is>
          <t>Rate</t>
        </is>
      </c>
      <c r="D20" s="29" t="inlineStr">
        <is>
          <t>MIN</t>
        </is>
      </c>
      <c r="E20" s="29" t="inlineStr">
        <is>
          <t>Note</t>
        </is>
      </c>
      <c r="F20" s="33" t="n"/>
      <c r="G20" s="34" t="n"/>
      <c r="H20" s="34" t="n"/>
      <c r="I20" s="34" t="n"/>
    </row>
    <row r="21" ht="19.95" customHeight="1" s="62">
      <c r="A21" s="35" t="inlineStr">
        <is>
          <t>Handling Fee</t>
        </is>
      </c>
      <c r="B21" s="36" t="inlineStr">
        <is>
          <t>Per Shipment</t>
        </is>
      </c>
      <c r="C21" s="37" t="n">
        <v>30</v>
      </c>
      <c r="D21" s="37" t="n">
        <v>30</v>
      </c>
      <c r="E21" s="35" t="inlineStr">
        <is>
          <t>건별</t>
        </is>
      </c>
    </row>
    <row r="22" ht="19.95" customHeight="1" s="62">
      <c r="A22" s="35" t="inlineStr">
        <is>
          <t>Doc Fee</t>
        </is>
      </c>
      <c r="B22" s="36" t="inlineStr">
        <is>
          <t>Per BL</t>
        </is>
      </c>
      <c r="C22" s="37" t="n">
        <v>25</v>
      </c>
      <c r="D22" s="37" t="n">
        <v>25</v>
      </c>
      <c r="E22" s="35" t="inlineStr">
        <is>
          <t>BL당</t>
        </is>
      </c>
    </row>
    <row r="23" ht="19.95" customHeight="1" s="62">
      <c r="A23" s="35" t="inlineStr">
        <is>
          <t>Trucking</t>
        </is>
      </c>
      <c r="B23" s="36" t="inlineStr">
        <is>
          <t>Per CBM</t>
        </is>
      </c>
      <c r="C23" s="37" t="n">
        <v>15</v>
      </c>
      <c r="D23" s="37" t="n">
        <v>80</v>
      </c>
      <c r="E23" s="35" t="inlineStr">
        <is>
          <t>CBM, MIN</t>
        </is>
      </c>
    </row>
    <row r="24" ht="19.95" customHeight="1" s="62">
      <c r="A24" s="35" t="inlineStr">
        <is>
          <t>Terminal Charge</t>
        </is>
      </c>
      <c r="B24" s="36" t="inlineStr">
        <is>
          <t>Per KG</t>
        </is>
      </c>
      <c r="C24" s="37" t="n">
        <v>1.68</v>
      </c>
      <c r="D24" s="37" t="n">
        <v>60</v>
      </c>
      <c r="E24" s="35" t="inlineStr">
        <is>
          <t>C.W. kg, MIN</t>
        </is>
      </c>
    </row>
    <row r="25" ht="19.95" customHeight="1" s="62">
      <c r="A25" s="44" t="inlineStr">
        <is>
          <t>CFS</t>
        </is>
      </c>
      <c r="B25" s="36" t="inlineStr">
        <is>
          <t>Per KG</t>
        </is>
      </c>
      <c r="C25" s="37" t="n">
        <v>0.7</v>
      </c>
      <c r="D25" s="37" t="n">
        <v>200</v>
      </c>
      <c r="E25" s="35" t="inlineStr">
        <is>
          <t>C.W. kg, MIN</t>
        </is>
      </c>
    </row>
    <row r="26" ht="19.95" customHeight="1" s="62">
      <c r="A26" s="35" t="inlineStr">
        <is>
          <t>Pickup (temp)</t>
        </is>
      </c>
      <c r="B26" s="36" t="inlineStr">
        <is>
          <t>Per Shipment</t>
        </is>
      </c>
      <c r="C26" s="37" t="n">
        <v>0</v>
      </c>
      <c r="D26" s="37" t="n">
        <v>2000</v>
      </c>
      <c r="E26" s="35" t="inlineStr">
        <is>
          <t>MIN/shpt</t>
        </is>
      </c>
    </row>
    <row r="27" ht="19.95" customHeight="1" s="62">
      <c r="A27" s="35" t="inlineStr">
        <is>
          <t>Export declaration</t>
        </is>
      </c>
      <c r="B27" s="36" t="inlineStr">
        <is>
          <t>Per Entry</t>
        </is>
      </c>
      <c r="C27" s="37" t="n">
        <v>200</v>
      </c>
      <c r="D27" s="37" t="n">
        <v>213</v>
      </c>
      <c r="E27" s="35" t="inlineStr">
        <is>
          <t>MIN/entry</t>
        </is>
      </c>
    </row>
    <row r="28" ht="19.95" customHeight="1" s="62">
      <c r="A28" s="35" t="inlineStr">
        <is>
          <t>RE-PACKING</t>
        </is>
      </c>
      <c r="B28" s="36" t="inlineStr">
        <is>
          <t>Per PLT</t>
        </is>
      </c>
      <c r="C28" s="37" t="n">
        <v>300</v>
      </c>
      <c r="D28" s="37" t="n">
        <v>300</v>
      </c>
      <c r="E28" s="35" t="inlineStr">
        <is>
          <t>Per PLT</t>
        </is>
      </c>
    </row>
    <row r="29" ht="19.95" customHeight="1" s="62">
      <c r="A29" s="35" t="inlineStr">
        <is>
          <t>XRAY</t>
        </is>
      </c>
      <c r="B29" s="36" t="inlineStr">
        <is>
          <t>Per KG</t>
        </is>
      </c>
      <c r="C29" s="37" t="n">
        <v>1</v>
      </c>
      <c r="D29" s="37" t="n">
        <v>0</v>
      </c>
      <c r="E29" s="35" t="inlineStr">
        <is>
          <t>Per KG</t>
        </is>
      </c>
    </row>
    <row r="30" ht="19.95" customHeight="1" s="62">
      <c r="A30" s="35" t="inlineStr">
        <is>
          <t>Gate / parking / toll</t>
        </is>
      </c>
      <c r="B30" s="36" t="inlineStr">
        <is>
          <t>Manual</t>
        </is>
      </c>
      <c r="C30" s="37" t="n">
        <v>0</v>
      </c>
      <c r="D30" s="37" t="n">
        <v>0</v>
      </c>
      <c r="E30" s="35" t="inlineStr">
        <is>
          <t>At cost</t>
        </is>
      </c>
    </row>
    <row r="31">
      <c r="A31" s="34" t="n"/>
      <c r="B31" s="34" t="n"/>
      <c r="C31" s="34" t="n"/>
      <c r="D31" s="34" t="n"/>
      <c r="E31" s="34" t="n"/>
    </row>
    <row r="32">
      <c r="A32" s="61" t="n"/>
    </row>
    <row r="33">
      <c r="A33" s="34" t="n"/>
      <c r="B33" s="34" t="n"/>
      <c r="C33" s="34" t="n"/>
      <c r="D33" s="34" t="n"/>
      <c r="E33" s="34" t="n"/>
    </row>
    <row r="34">
      <c r="A34" s="34" t="n"/>
      <c r="B34" s="34" t="n"/>
      <c r="C34" s="34" t="n"/>
      <c r="D34" s="34" t="n"/>
      <c r="E34" s="34" t="n"/>
    </row>
    <row r="35">
      <c r="A35" s="34" t="n"/>
      <c r="B35" s="34" t="n"/>
      <c r="C35" s="34" t="n"/>
      <c r="D35" s="34" t="n"/>
      <c r="E35" s="34" t="n"/>
    </row>
    <row r="36">
      <c r="A36" s="34" t="n"/>
      <c r="B36" s="34" t="n"/>
      <c r="C36" s="34" t="n"/>
      <c r="D36" s="34" t="n"/>
      <c r="E36" s="34" t="n"/>
    </row>
    <row r="37">
      <c r="A37" s="34" t="n"/>
      <c r="B37" s="34" t="n"/>
      <c r="C37" s="34" t="n"/>
      <c r="D37" s="34" t="n"/>
      <c r="E37" s="34" t="n"/>
    </row>
    <row r="38">
      <c r="A38" s="34" t="n"/>
      <c r="B38" s="34" t="n"/>
      <c r="C38" s="34" t="n"/>
      <c r="D38" s="34" t="n"/>
      <c r="E38" s="34" t="n"/>
    </row>
    <row r="39">
      <c r="A39" s="34" t="n"/>
      <c r="B39" s="34" t="n"/>
      <c r="C39" s="34" t="n"/>
      <c r="D39" s="34" t="n"/>
      <c r="E39" s="34" t="n"/>
    </row>
    <row r="40">
      <c r="A40" s="34" t="n"/>
      <c r="B40" s="34" t="n"/>
      <c r="C40" s="34" t="n"/>
      <c r="D40" s="34" t="n"/>
      <c r="E40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A32:H3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M41"/>
  <sheetViews>
    <sheetView showGridLines="0" topLeftCell="A14" zoomScale="70" zoomScaleNormal="70" workbookViewId="0">
      <selection activeCell="C34" sqref="C34:D34"/>
    </sheetView>
  </sheetViews>
  <sheetFormatPr baseColWidth="8" defaultRowHeight="17.4"/>
  <cols>
    <col width="2.5" customWidth="1" style="62" min="1" max="1"/>
    <col width="12" customWidth="1" style="62" min="2" max="2"/>
    <col width="10" customWidth="1" style="62" min="3" max="4"/>
    <col width="11" customWidth="1" style="62" min="5" max="5"/>
    <col width="10" customWidth="1" style="62" min="6" max="6"/>
    <col width="9" customWidth="1" style="62" min="7" max="8"/>
    <col width="11" customWidth="1" style="62" min="9" max="10"/>
    <col width="8.796875" customWidth="1" style="62" min="11" max="12"/>
    <col width="11" customWidth="1" style="62" min="13" max="13"/>
  </cols>
  <sheetData>
    <row r="2" ht="30" customHeight="1" s="62">
      <c r="B2" s="67" t="inlineStr">
        <is>
          <t>항공 가견적 시뮬레이터</t>
        </is>
      </c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6" t="n"/>
    </row>
    <row r="3" ht="19.95" customHeight="1" s="62">
      <c r="B3" s="7" t="inlineStr">
        <is>
          <t>입력</t>
        </is>
      </c>
      <c r="C3" s="8" t="inlineStr">
        <is>
          <t>자동</t>
        </is>
      </c>
      <c r="D3" s="9" t="inlineStr">
        <is>
          <t>예외</t>
        </is>
      </c>
      <c r="E3" s="98" t="inlineStr">
        <is>
          <t>작업은 [입력]만 · 로컬 참고/예외 · 공유는 [견적서]</t>
        </is>
      </c>
    </row>
    <row r="4" ht="24" customHeight="1" s="62">
      <c r="B4" s="99" t="inlineStr">
        <is>
          <t>1. 화물 입력</t>
        </is>
      </c>
      <c r="C4" s="68" t="n"/>
      <c r="D4" s="68" t="n"/>
      <c r="E4" s="68" t="n"/>
      <c r="F4" s="68" t="n"/>
      <c r="G4" s="68" t="n"/>
      <c r="H4" s="68" t="n"/>
      <c r="I4" s="68" t="n"/>
      <c r="J4" s="68" t="n"/>
      <c r="K4" s="68" t="n"/>
      <c r="L4" s="68" t="n"/>
      <c r="M4" s="66" t="n"/>
    </row>
    <row r="5" ht="22.95" customHeight="1" s="62">
      <c r="B5" s="25" t="inlineStr">
        <is>
          <t>Route</t>
        </is>
      </c>
      <c r="C5" s="73" t="inlineStr">
        <is>
          <t>HKG-ICN</t>
        </is>
      </c>
      <c r="D5" s="70" t="n"/>
      <c r="E5" s="25" t="inlineStr">
        <is>
          <t>B/L 수</t>
        </is>
      </c>
      <c r="F5" s="82" t="n">
        <v>1</v>
      </c>
      <c r="G5" s="70" t="n"/>
    </row>
    <row r="6" ht="22.95" customHeight="1" s="62">
      <c r="B6" s="94" t="inlineStr">
        <is>
          <t>화물 세부  (#열 = 규격)</t>
        </is>
      </c>
      <c r="C6" s="68" t="n"/>
      <c r="D6" s="68" t="n"/>
      <c r="E6" s="68" t="n"/>
      <c r="F6" s="68" t="n"/>
      <c r="G6" s="68" t="n"/>
      <c r="H6" s="68" t="n"/>
      <c r="I6" s="68" t="n"/>
      <c r="J6" s="68" t="n"/>
      <c r="K6" s="68" t="n"/>
      <c r="L6" s="68" t="n"/>
      <c r="M6" s="66" t="n"/>
    </row>
    <row r="7" ht="22.95" customHeight="1" s="62">
      <c r="B7" s="26" t="inlineStr">
        <is>
          <t>항목</t>
        </is>
      </c>
      <c r="C7" s="11" t="inlineStr">
        <is>
          <t>#1</t>
        </is>
      </c>
      <c r="D7" s="11" t="inlineStr">
        <is>
          <t>#2</t>
        </is>
      </c>
      <c r="E7" s="11" t="inlineStr">
        <is>
          <t>#3</t>
        </is>
      </c>
      <c r="F7" s="11" t="inlineStr">
        <is>
          <t>#4</t>
        </is>
      </c>
      <c r="G7" s="11" t="inlineStr">
        <is>
          <t>#5</t>
        </is>
      </c>
      <c r="H7" s="11" t="inlineStr">
        <is>
          <t>#6</t>
        </is>
      </c>
      <c r="I7" s="11" t="inlineStr">
        <is>
          <t>#7</t>
        </is>
      </c>
      <c r="J7" s="11" t="inlineStr">
        <is>
          <t>#8</t>
        </is>
      </c>
      <c r="K7" s="11" t="inlineStr">
        <is>
          <t>#9</t>
        </is>
      </c>
      <c r="L7" s="11" t="inlineStr">
        <is>
          <t>#10</t>
        </is>
      </c>
      <c r="M7" s="12" t="inlineStr">
        <is>
          <t>TOTAL</t>
        </is>
      </c>
    </row>
    <row r="8" ht="22.95" customHeight="1" s="62">
      <c r="B8" s="27" t="inlineStr">
        <is>
          <t>L (cm)</t>
        </is>
      </c>
      <c r="C8" s="13" t="n">
        <v>110</v>
      </c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4" t="n"/>
    </row>
    <row r="9" ht="22.95" customHeight="1" s="62">
      <c r="B9" s="27" t="inlineStr">
        <is>
          <t>W (cm)</t>
        </is>
      </c>
      <c r="C9" s="13" t="n">
        <v>110</v>
      </c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4" t="n"/>
    </row>
    <row r="10" ht="22.95" customHeight="1" s="62">
      <c r="B10" s="27" t="inlineStr">
        <is>
          <t>H (cm)</t>
        </is>
      </c>
      <c r="C10" s="13" t="n">
        <v>109</v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</row>
    <row r="11" ht="22.95" customHeight="1" s="62">
      <c r="B11" s="27" t="inlineStr">
        <is>
          <t>Qty</t>
        </is>
      </c>
      <c r="C11" s="13" t="n">
        <v>1</v>
      </c>
      <c r="D11" s="1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</row>
    <row r="12" ht="22.95" customHeight="1" s="62">
      <c r="B12" s="27" t="inlineStr">
        <is>
          <t>Gross</t>
        </is>
      </c>
      <c r="C12" s="13" t="n">
        <v>194.5</v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5">
        <f>IFERROR(SUM(C12:L12),0)</f>
        <v/>
      </c>
    </row>
    <row r="13" ht="22.95" customHeight="1" s="62">
      <c r="B13" s="28" t="inlineStr">
        <is>
          <t>CBM</t>
        </is>
      </c>
      <c r="C13" s="117">
        <f>IFERROR(IF(COUNTA(C8:C11)&lt;4,"",C8*C9*C10*C11/Master_DB!$B$6),"")</f>
        <v/>
      </c>
      <c r="D13" s="117">
        <f>IFERROR(IF(COUNTA(D8:D11)&lt;4,"",D8*D9*D10*D11/Master_DB!$B$6),"")</f>
        <v/>
      </c>
      <c r="E13" s="117">
        <f>IFERROR(IF(COUNTA(E8:E11)&lt;4,"",E8*E9*E10*E11/Master_DB!$B$6),"")</f>
        <v/>
      </c>
      <c r="F13" s="117">
        <f>IFERROR(IF(COUNTA(F8:F11)&lt;4,"",F8*F9*F10*F11/Master_DB!$B$6),"")</f>
        <v/>
      </c>
      <c r="G13" s="117">
        <f>IFERROR(IF(COUNTA(G8:G11)&lt;4,"",G8*G9*G10*G11/Master_DB!$B$6),"")</f>
        <v/>
      </c>
      <c r="H13" s="117">
        <f>IFERROR(IF(COUNTA(H8:H11)&lt;4,"",H8*H9*H10*H11/Master_DB!$B$6),"")</f>
        <v/>
      </c>
      <c r="I13" s="117">
        <f>IFERROR(IF(COUNTA(I8:I11)&lt;4,"",I8*I9*I10*I11/Master_DB!$B$6),"")</f>
        <v/>
      </c>
      <c r="J13" s="117">
        <f>IFERROR(IF(COUNTA(J8:J11)&lt;4,"",J8*J9*J10*J11/Master_DB!$B$6),"")</f>
        <v/>
      </c>
      <c r="K13" s="117">
        <f>IFERROR(IF(COUNTA(K8:K11)&lt;4,"",K8*K9*K10*K11/Master_DB!$B$6),"")</f>
        <v/>
      </c>
      <c r="L13" s="117">
        <f>IFERROR(IF(COUNTA(L8:L11)&lt;4,"",L8*L9*L10*L11/Master_DB!$B$6),"")</f>
        <v/>
      </c>
      <c r="M13" s="118">
        <f>IFERROR(SUM(C13:L13),0)</f>
        <v/>
      </c>
    </row>
    <row r="14" ht="22.95" customHeight="1" s="62">
      <c r="B14" s="28" t="inlineStr">
        <is>
          <t>C.W.</t>
        </is>
      </c>
      <c r="C14" s="18">
        <f>IFERROR(IF(AND(C12="",C13=""),"",MAX(N(C12),N(C13)*Master_DB!$B$5)),"")</f>
        <v/>
      </c>
      <c r="D14" s="18">
        <f>IFERROR(IF(AND(D12="",D13=""),"",MAX(N(D12),N(D13)*Master_DB!$B$5)),"")</f>
        <v/>
      </c>
      <c r="E14" s="18">
        <f>IFERROR(IF(AND(E12="",E13=""),"",MAX(N(E12),N(E13)*Master_DB!$B$5)),"")</f>
        <v/>
      </c>
      <c r="F14" s="18">
        <f>IFERROR(IF(AND(F12="",F13=""),"",MAX(N(F12),N(F13)*Master_DB!$B$5)),"")</f>
        <v/>
      </c>
      <c r="G14" s="18">
        <f>IFERROR(IF(AND(G12="",G13=""),"",MAX(N(G12),N(G13)*Master_DB!$B$5)),"")</f>
        <v/>
      </c>
      <c r="H14" s="18">
        <f>IFERROR(IF(AND(H12="",H13=""),"",MAX(N(H12),N(H13)*Master_DB!$B$5)),"")</f>
        <v/>
      </c>
      <c r="I14" s="18">
        <f>IFERROR(IF(AND(I12="",I13=""),"",MAX(N(I12),N(I13)*Master_DB!$B$5)),"")</f>
        <v/>
      </c>
      <c r="J14" s="18">
        <f>IFERROR(IF(AND(J12="",J13=""),"",MAX(N(J12),N(J13)*Master_DB!$B$5)),"")</f>
        <v/>
      </c>
      <c r="K14" s="18">
        <f>IFERROR(IF(AND(K12="",K13=""),"",MAX(N(K12),N(K13)*Master_DB!$B$5)),"")</f>
        <v/>
      </c>
      <c r="L14" s="18">
        <f>IFERROR(IF(AND(L12="",L13=""),"",MAX(N(L12),N(L13)*Master_DB!$B$5)),"")</f>
        <v/>
      </c>
      <c r="M14" s="18">
        <f>IFERROR(SUM(C14:L14),0)</f>
        <v/>
      </c>
    </row>
    <row r="15" ht="10.05" customHeight="1" s="62"/>
    <row r="16" ht="24" customHeight="1" s="62">
      <c r="B16" s="94" t="inlineStr">
        <is>
          <t>2. 자동 계산</t>
        </is>
      </c>
      <c r="C16" s="68" t="n"/>
      <c r="D16" s="66" t="n"/>
      <c r="E16" s="94" t="inlineStr">
        <is>
          <t>3. 비용 내역</t>
        </is>
      </c>
      <c r="F16" s="68" t="n"/>
      <c r="G16" s="68" t="n"/>
      <c r="H16" s="68" t="n"/>
      <c r="I16" s="68" t="n"/>
      <c r="J16" s="66" t="n"/>
    </row>
    <row r="17" ht="22.05" customHeight="1" s="62">
      <c r="B17" s="27" t="inlineStr">
        <is>
          <t>CBM</t>
        </is>
      </c>
      <c r="C17" s="119">
        <f>IFERROR(IF(M13="","",M13),"")</f>
        <v/>
      </c>
      <c r="D17" s="66" t="n"/>
      <c r="E17" s="76" t="inlineStr">
        <is>
          <t>항목</t>
        </is>
      </c>
      <c r="F17" s="66" t="n"/>
      <c r="G17" s="76" t="inlineStr">
        <is>
          <t>단위</t>
        </is>
      </c>
      <c r="H17" s="66" t="n"/>
      <c r="I17" s="19" t="inlineStr">
        <is>
          <t>참고</t>
        </is>
      </c>
      <c r="J17" s="19" t="inlineStr">
        <is>
          <t>예외</t>
        </is>
      </c>
    </row>
    <row r="18" ht="22.95" customHeight="1" s="62">
      <c r="B18" s="27" t="inlineStr">
        <is>
          <t>실중량합</t>
        </is>
      </c>
      <c r="C18" s="83">
        <f>IFERROR(IF(M12="","",M12),"")</f>
        <v/>
      </c>
      <c r="D18" s="66" t="n"/>
      <c r="E18" s="79" t="inlineStr">
        <is>
          <t>Air Freight</t>
        </is>
      </c>
      <c r="F18" s="66" t="n"/>
      <c r="G18" s="80">
        <f>IFERROR(C21,"")</f>
        <v/>
      </c>
      <c r="H18" s="66" t="n"/>
      <c r="I18" s="52">
        <f>IFERROR(IF(OR(C22="",C20="",C23=""),"",MAX(C22*C20,C23)),"")</f>
        <v/>
      </c>
      <c r="J18" s="53" t="n"/>
    </row>
    <row r="19" ht="22.95" customHeight="1" s="62">
      <c r="B19" s="27" t="inlineStr">
        <is>
          <t>부피중량</t>
        </is>
      </c>
      <c r="C19" s="83">
        <f>IFERROR(IF(C17="","",C17*Master_DB!$B$5),"")</f>
        <v/>
      </c>
      <c r="D19" s="66" t="n"/>
      <c r="E19" s="75" t="inlineStr">
        <is>
          <t>FSC</t>
        </is>
      </c>
      <c r="F19" s="66" t="n"/>
      <c r="G19" s="65" t="inlineStr">
        <is>
          <t>Per KG</t>
        </is>
      </c>
      <c r="H19" s="66" t="n"/>
      <c r="I19" s="54">
        <f>IFERROR(IF(OR(C24="",C20=""),"",C24*C20),"")</f>
        <v/>
      </c>
      <c r="J19" s="55" t="n"/>
    </row>
    <row r="20" ht="22.95" customHeight="1" s="62">
      <c r="B20" s="27" t="inlineStr">
        <is>
          <t>C.W.</t>
        </is>
      </c>
      <c r="C20" s="78">
        <f>IFERROR(IF(M14="","",M14),"")</f>
        <v/>
      </c>
      <c r="D20" s="66" t="n"/>
      <c r="E20" s="79" t="inlineStr">
        <is>
          <t>SSC</t>
        </is>
      </c>
      <c r="F20" s="66" t="n"/>
      <c r="G20" s="80" t="inlineStr">
        <is>
          <t>Per KG</t>
        </is>
      </c>
      <c r="H20" s="66" t="n"/>
      <c r="I20" s="52">
        <f>IFERROR(IF(OR(C25="",C20=""),"",C25*C20),"")</f>
        <v/>
      </c>
      <c r="J20" s="53" t="n"/>
    </row>
    <row r="21" ht="22.95" customHeight="1" s="62">
      <c r="B21" s="27" t="inlineStr">
        <is>
          <t>Break</t>
        </is>
      </c>
      <c r="C21" s="95">
        <f>IFERROR(IF(C20="","",IF(C20&lt;Master_DB!$B$9,"-45",IF(C20&gt;=Master_DB!$B$12,"+1000",IF(C20&gt;=Master_DB!$B$11,"+500",IF(C20&gt;=Master_DB!$B$10,"+100","+45"))))),"")</f>
        <v/>
      </c>
      <c r="D21" s="66" t="n"/>
      <c r="E21" s="75" t="inlineStr">
        <is>
          <t>Handling Fee</t>
        </is>
      </c>
      <c r="F21" s="66" t="n"/>
      <c r="G21" s="65">
        <f>IFERROR(INDEX(Master_DB!$B$21:$B$40,MATCH("Handling Fee",Master_DB!$A$21:$A$40,0)),"")</f>
        <v/>
      </c>
      <c r="H21" s="66" t="n"/>
      <c r="I21" s="56">
        <f>IFERROR(MAX(INDEX(Master_DB!$C$21:$C$40,MATCH("Handling Fee",Master_DB!$A$21:$A$40,0)),INDEX(Master_DB!$D$21:$D$40,MATCH("Handling Fee",Master_DB!$A$21:$A$40,0))),"")</f>
        <v/>
      </c>
      <c r="J21" s="57" t="n">
        <v>321</v>
      </c>
    </row>
    <row r="22" ht="22.95" customHeight="1" s="62">
      <c r="B22" s="27" t="inlineStr">
        <is>
          <t>Air Rate</t>
        </is>
      </c>
      <c r="C22" s="83">
        <f>IFERROR(IF(OR(C5="",C20=""),"",IF(C20&lt;Master_DB!$B$9,VLOOKUP(C5,Master_DB!$A$16:$J$50,3,FALSE),IF(C20&gt;=Master_DB!$B$12,VLOOKUP(C5,Master_DB!$A$16:$J$50,7,FALSE),IF(C20&gt;=Master_DB!$B$11,VLOOKUP(C5,Master_DB!$A$16:$J$50,6,FALSE),IF(C20&gt;=Master_DB!$B$10,VLOOKUP(C5,Master_DB!$A$16:$J$50,5,FALSE),VLOOKUP(C5,Master_DB!$A$16:$J$50,4,FALSE)))))),"")</f>
        <v/>
      </c>
      <c r="D22" s="66" t="n"/>
      <c r="E22" s="79" t="inlineStr">
        <is>
          <t>Doc Fee</t>
        </is>
      </c>
      <c r="F22" s="66" t="n"/>
      <c r="G22" s="80">
        <f>IFERROR(INDEX(Master_DB!$B$21:$B$40,MATCH("Doc Fee",Master_DB!$A$21:$A$40,0)),"")</f>
        <v/>
      </c>
      <c r="H22" s="66" t="n"/>
      <c r="I22" s="58">
        <f>IFERROR(IF(F5="","",MAX(INDEX(Master_DB!$C$21:$C$40,MATCH("Doc Fee",Master_DB!$A$21:$A$40,0)),INDEX(Master_DB!$D$21:$D$40,MATCH("Doc Fee",Master_DB!$A$21:$A$40,0)))*F5),"")</f>
        <v/>
      </c>
      <c r="J22" s="57" t="n">
        <v>15</v>
      </c>
    </row>
    <row r="23" ht="22.95" customHeight="1" s="62">
      <c r="B23" s="27" t="inlineStr">
        <is>
          <t>Air MIN</t>
        </is>
      </c>
      <c r="C23" s="83">
        <f>IFERROR(IF(C5="","",VLOOKUP(C5,Master_DB!$A$16:$J$50,2,FALSE)),"")</f>
        <v/>
      </c>
      <c r="D23" s="66" t="n"/>
      <c r="E23" s="75" t="inlineStr">
        <is>
          <t>Trucking</t>
        </is>
      </c>
      <c r="F23" s="66" t="n"/>
      <c r="G23" s="65">
        <f>IFERROR(INDEX(Master_DB!$B$21:$B$40,MATCH("Trucking",Master_DB!$A$21:$A$40,0)),"")</f>
        <v/>
      </c>
      <c r="H23" s="66" t="n"/>
      <c r="I23" s="56">
        <f>IFERROR(IF(M13="","",MAX(INDEX(Master_DB!$C$21:$C$40,MATCH("Trucking",Master_DB!$A$21:$A$40,0))*M13,INDEX(Master_DB!$D$21:$D$40,MATCH("Trucking",Master_DB!$A$21:$A$40,0)))),"")</f>
        <v/>
      </c>
      <c r="J23" s="57" t="n">
        <v>0</v>
      </c>
    </row>
    <row r="24" ht="22.95" customHeight="1" s="62">
      <c r="B24" s="38" t="inlineStr">
        <is>
          <t>FSC /kg</t>
        </is>
      </c>
      <c r="C24" s="39">
        <f>IFERROR(IF(C5="","",VLOOKUP(C5,Master_DB!$A$16:$J$50,8,FALSE)),"")</f>
        <v/>
      </c>
      <c r="D24" s="34" t="n"/>
      <c r="E24" s="71" t="inlineStr">
        <is>
          <t>Terminal Charge</t>
        </is>
      </c>
      <c r="F24" s="66" t="n"/>
      <c r="G24" s="74">
        <f>IFERROR(INDEX(Master_DB!$B$21:$B$40,MATCH("Terminal Charge",Master_DB!$A$21:$A$40,0)),"")</f>
        <v/>
      </c>
      <c r="H24" s="66" t="n"/>
      <c r="I24" s="59">
        <f>IFERROR(IF(C20="","",MAX(INDEX(Master_DB!$C$21:$C$40,MATCH("Terminal Charge",Master_DB!$A$21:$A$40,0))*C20,INDEX(Master_DB!$D$21:$D$40,MATCH("Terminal Charge",Master_DB!$A$21:$A$40,0)))),"")</f>
        <v/>
      </c>
      <c r="J24" s="60" t="n"/>
    </row>
    <row r="25" ht="25.95" customHeight="1" s="62">
      <c r="B25" s="38" t="inlineStr">
        <is>
          <t>SSC /kg</t>
        </is>
      </c>
      <c r="C25" s="39">
        <f>IFERROR(IF(C5="","",VLOOKUP(C5,Master_DB!$A$16:$J$50,9,FALSE)),"")</f>
        <v/>
      </c>
      <c r="D25" s="34" t="n"/>
      <c r="E25" s="81" t="inlineStr">
        <is>
          <t>XRAY</t>
        </is>
      </c>
      <c r="F25" s="70" t="n"/>
      <c r="G25" s="74" t="inlineStr">
        <is>
          <t>Per KG</t>
        </is>
      </c>
      <c r="H25" s="66" t="n"/>
      <c r="I25" s="59">
        <f>IFERROR(IF(C20="","",INDEX(Master_DB!$C$21:$C$40,MATCH("XRAY",Master_DB!$A$21:$A$40,0))*C20),"")</f>
        <v/>
      </c>
      <c r="J25" s="60" t="n">
        <v>220.26</v>
      </c>
    </row>
    <row r="26" ht="25.95" customHeight="1" s="62">
      <c r="B26" s="34" t="n"/>
      <c r="C26" s="34" t="n"/>
      <c r="D26" s="34" t="n"/>
      <c r="E26" s="81" t="inlineStr">
        <is>
          <t>CFS</t>
        </is>
      </c>
      <c r="F26" s="70" t="n"/>
      <c r="G26" s="74" t="inlineStr">
        <is>
          <t>Per KG</t>
        </is>
      </c>
      <c r="H26" s="66" t="n"/>
      <c r="I26" s="59">
        <f>IFERROR(IF(C20="","",MAX(INDEX(Master_DB!$C$21:$C$40,MATCH("CFS",Master_DB!$A$21:$A$40,0))*C20,INDEX(Master_DB!$D$21:$D$40,MATCH("CFS",Master_DB!$A$21:$A$40,0)))),"")</f>
        <v/>
      </c>
      <c r="J26" s="60" t="n">
        <v>200</v>
      </c>
    </row>
    <row r="27" ht="22.95" customHeight="1" s="62">
      <c r="B27" s="40" t="n"/>
      <c r="C27" s="41" t="n"/>
      <c r="D27" s="34" t="n"/>
      <c r="E27" s="81" t="inlineStr">
        <is>
          <t>Pickup</t>
        </is>
      </c>
      <c r="F27" s="70" t="n"/>
      <c r="G27" s="74" t="inlineStr">
        <is>
          <t>Per Shipment</t>
        </is>
      </c>
      <c r="H27" s="66" t="n"/>
      <c r="I27" s="59">
        <f>IFERROR(INDEX(Master_DB!$D$21:$D$40,MATCH("Pickup (temp)",Master_DB!$A$21:$A$40,0)),"")</f>
        <v/>
      </c>
      <c r="J27" s="60" t="n">
        <v>2000</v>
      </c>
    </row>
    <row r="28" ht="22.95" customHeight="1" s="62">
      <c r="B28" s="40" t="n"/>
      <c r="C28" s="41" t="n"/>
      <c r="D28" s="34" t="n"/>
      <c r="E28" s="81" t="inlineStr">
        <is>
          <t>Export</t>
        </is>
      </c>
      <c r="F28" s="70" t="n"/>
      <c r="G28" s="74" t="inlineStr">
        <is>
          <t>Per Entry</t>
        </is>
      </c>
      <c r="H28" s="66" t="n"/>
      <c r="I28" s="59">
        <f>IFERROR(INDEX(Master_DB!$D$21:$D$40,MATCH("Export declaration",Master_DB!$A$21:$A$40,0))*F5,"")</f>
        <v/>
      </c>
      <c r="J28" s="60" t="n">
        <v>213</v>
      </c>
    </row>
    <row r="29" ht="22.95" customHeight="1" s="62">
      <c r="B29" s="40" t="n"/>
      <c r="C29" s="42" t="n"/>
      <c r="D29" s="34" t="n"/>
      <c r="E29" s="81" t="inlineStr">
        <is>
          <t>RE-PACK</t>
        </is>
      </c>
      <c r="F29" s="70" t="n"/>
      <c r="G29" s="74" t="inlineStr">
        <is>
          <t>Per PLT</t>
        </is>
      </c>
      <c r="H29" s="66" t="n"/>
      <c r="I29" s="59">
        <f>IFERROR(IF(SUM(C11:L11)=0,"",INDEX(Master_DB!$C$21:$C$40,MATCH("RE-PACKING",Master_DB!$A$21:$A$40,0))*SUM(C11:L11)),"")</f>
        <v/>
      </c>
      <c r="J29" s="60" t="n">
        <v>300</v>
      </c>
    </row>
    <row r="30">
      <c r="B30" s="34" t="n"/>
      <c r="C30" s="34" t="n"/>
      <c r="D30" s="34" t="n"/>
      <c r="E30" s="81" t="inlineStr">
        <is>
          <t>Gate/etc</t>
        </is>
      </c>
      <c r="F30" s="70" t="n"/>
      <c r="G30" s="74" t="inlineStr">
        <is>
          <t>Manual</t>
        </is>
      </c>
      <c r="H30" s="66" t="n"/>
      <c r="I30" s="59" t="n"/>
      <c r="J30" s="60" t="n">
        <v>0</v>
      </c>
    </row>
    <row r="31">
      <c r="B31" s="34" t="n"/>
      <c r="C31" s="34" t="n"/>
      <c r="D31" s="34" t="n"/>
      <c r="E31" s="88" t="inlineStr">
        <is>
          <t>TOTAL APPX. AMOUNT</t>
        </is>
      </c>
      <c r="F31" s="89" t="n"/>
      <c r="G31" s="89" t="n"/>
      <c r="H31" s="90" t="n"/>
      <c r="I31" s="84">
        <f>IFERROR((IF(J18="",I18,J18)+IF(J19="",I19,J19)+IF(J20="",I20,J20)+IF(J21="",I21,J21)+IF(J22="",I22,J22)+IF(J23="",I23,J23)+IF(J24="",I24,J24)+IF(J25="",I25,J25)+IF(J26="",I26,J26)+IF(J27="",I27,J27)+IF(J28="",I28,J28)+IF(J29="",I29,J29)+IF(J30="",I30,J30))*IF(C33="HKD",C34,1),"")</f>
        <v/>
      </c>
      <c r="J31" s="85" t="n"/>
    </row>
    <row r="32">
      <c r="B32" s="34" t="n"/>
      <c r="C32" s="34" t="n"/>
      <c r="D32" s="34" t="n"/>
      <c r="E32" s="91" t="n"/>
      <c r="F32" s="92" t="n"/>
      <c r="G32" s="92" t="n"/>
      <c r="H32" s="93" t="n"/>
      <c r="I32" s="86" t="n"/>
      <c r="J32" s="87" t="n"/>
    </row>
    <row r="33">
      <c r="B33" s="43" t="inlineStr">
        <is>
          <t>Currency</t>
        </is>
      </c>
      <c r="C33" s="72">
        <f>IFERROR(IF(C5="","",VLOOKUP(C5,Master_DB!$A$16:$J$50,10,FALSE)),"USD")</f>
        <v/>
      </c>
      <c r="D33" s="70" t="n"/>
      <c r="E33" s="34" t="n"/>
      <c r="F33" s="34" t="n"/>
      <c r="G33" s="34" t="n"/>
      <c r="H33" s="34" t="n"/>
      <c r="I33" s="34" t="n"/>
      <c r="J33" s="34" t="n"/>
    </row>
    <row r="34">
      <c r="B34" s="43" t="inlineStr">
        <is>
          <t>Ex.Rate</t>
        </is>
      </c>
      <c r="C34" s="120" t="n">
        <v>1</v>
      </c>
      <c r="D34" s="70" t="n"/>
      <c r="E34" s="34" t="n"/>
      <c r="F34" s="34" t="n"/>
      <c r="G34" s="34" t="n"/>
      <c r="H34" s="34" t="n"/>
      <c r="I34" s="34" t="n"/>
      <c r="J34" s="34" t="n"/>
    </row>
    <row r="35">
      <c r="B35" s="43" t="inlineStr">
        <is>
          <t>Route</t>
        </is>
      </c>
      <c r="C35" s="77">
        <f>IFERROR(C5,"")</f>
        <v/>
      </c>
      <c r="D35" s="66" t="n"/>
      <c r="E35" s="34" t="n"/>
      <c r="F35" s="34" t="n"/>
      <c r="G35" s="34" t="n"/>
      <c r="H35" s="34" t="n"/>
      <c r="I35" s="34" t="n"/>
      <c r="J35" s="34" t="n"/>
    </row>
    <row r="36">
      <c r="B36" s="43" t="inlineStr">
        <is>
          <t>C.W.</t>
        </is>
      </c>
      <c r="C36" s="96">
        <f>IFERROR(C20,"")</f>
        <v/>
      </c>
      <c r="D36" s="66" t="n"/>
      <c r="E36" s="34" t="n"/>
      <c r="F36" s="34" t="n"/>
      <c r="G36" s="34" t="n"/>
      <c r="H36" s="34" t="n"/>
      <c r="I36" s="34" t="n"/>
      <c r="J36" s="34" t="n"/>
    </row>
    <row r="37" ht="19.95" customHeight="1" s="62">
      <c r="B37" s="48" t="inlineStr">
        <is>
          <t>Carrier</t>
        </is>
      </c>
      <c r="C37" s="101" t="inlineStr">
        <is>
          <t>KE</t>
        </is>
      </c>
      <c r="D37" s="70" t="n"/>
      <c r="E37" s="34" t="n"/>
      <c r="F37" s="34" t="n"/>
      <c r="G37" s="34" t="n"/>
      <c r="H37" s="34" t="n"/>
      <c r="I37" s="34" t="n"/>
      <c r="J37" s="34" t="n"/>
    </row>
    <row r="38" ht="28.05" customHeight="1" s="62">
      <c r="B38" s="48" t="inlineStr">
        <is>
          <t>Remark</t>
        </is>
      </c>
      <c r="C38" s="102" t="inlineStr">
        <is>
          <t>KEEP COOL / Maintained at 2-8°C at airline terminal</t>
        </is>
      </c>
      <c r="D38" s="103" t="n"/>
      <c r="E38" s="103" t="n"/>
      <c r="F38" s="103" t="n"/>
      <c r="G38" s="103" t="n"/>
      <c r="H38" s="103" t="n"/>
      <c r="I38" s="103" t="n"/>
      <c r="J38" s="70" t="n"/>
    </row>
    <row r="39" ht="19.95" customHeight="1" s="62">
      <c r="B39" s="48" t="inlineStr">
        <is>
          <t>Valid until</t>
        </is>
      </c>
      <c r="C39" s="101" t="inlineStr">
        <is>
          <t>31 Aug 2026</t>
        </is>
      </c>
      <c r="D39" s="70" t="n"/>
      <c r="E39" s="34" t="n"/>
      <c r="F39" s="34" t="n"/>
      <c r="G39" s="34" t="n"/>
      <c r="H39" s="34" t="n"/>
      <c r="I39" s="34" t="n"/>
      <c r="J39" s="34" t="n"/>
    </row>
    <row r="40">
      <c r="B40" s="34" t="n"/>
      <c r="C40" s="34" t="n"/>
      <c r="D40" s="34" t="n"/>
      <c r="E40" s="34" t="n"/>
      <c r="F40" s="34" t="n"/>
      <c r="G40" s="34" t="n"/>
      <c r="H40" s="34" t="n"/>
      <c r="I40" s="34" t="n"/>
      <c r="J40" s="34" t="n"/>
    </row>
    <row r="41" ht="22.05" customHeight="1" s="62">
      <c r="B41" s="97" t="inlineStr">
        <is>
          <t>Currency=Master CUR(J) | HKD·이미HKD→Ex.Rate=1 | Carrier·Remark·Valid→견적서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53">
    <mergeCell ref="G21:H21"/>
    <mergeCell ref="B2:M2"/>
    <mergeCell ref="C34:D34"/>
    <mergeCell ref="E24:F24"/>
    <mergeCell ref="C33:D33"/>
    <mergeCell ref="C5:D5"/>
    <mergeCell ref="G27:H27"/>
    <mergeCell ref="E23:F23"/>
    <mergeCell ref="G23:H23"/>
    <mergeCell ref="E17:F17"/>
    <mergeCell ref="C18:D18"/>
    <mergeCell ref="G17:H17"/>
    <mergeCell ref="C35:D35"/>
    <mergeCell ref="C20:D20"/>
    <mergeCell ref="E20:F20"/>
    <mergeCell ref="E29:F29"/>
    <mergeCell ref="F5:G5"/>
    <mergeCell ref="E19:F19"/>
    <mergeCell ref="G19:H19"/>
    <mergeCell ref="E28:F28"/>
    <mergeCell ref="G28:H28"/>
    <mergeCell ref="C22:D22"/>
    <mergeCell ref="G18:H18"/>
    <mergeCell ref="I31:J32"/>
    <mergeCell ref="E31:H32"/>
    <mergeCell ref="B6:M6"/>
    <mergeCell ref="E16:J16"/>
    <mergeCell ref="E30:F30"/>
    <mergeCell ref="C21:D21"/>
    <mergeCell ref="G24:H24"/>
    <mergeCell ref="G30:H30"/>
    <mergeCell ref="E27:F27"/>
    <mergeCell ref="C36:D36"/>
    <mergeCell ref="B41:J41"/>
    <mergeCell ref="E3:M3"/>
    <mergeCell ref="E26:F26"/>
    <mergeCell ref="B4:M4"/>
    <mergeCell ref="C17:D17"/>
    <mergeCell ref="G26:H26"/>
    <mergeCell ref="B16:D16"/>
    <mergeCell ref="C39:D39"/>
    <mergeCell ref="C23:D23"/>
    <mergeCell ref="G29:H29"/>
    <mergeCell ref="G20:H20"/>
    <mergeCell ref="E25:F25"/>
    <mergeCell ref="G25:H25"/>
    <mergeCell ref="C38:J38"/>
    <mergeCell ref="C37:D37"/>
    <mergeCell ref="C19:D19"/>
    <mergeCell ref="E22:F22"/>
    <mergeCell ref="G22:H22"/>
    <mergeCell ref="E18:F18"/>
    <mergeCell ref="E21:F21"/>
  </mergeCells>
  <dataValidations count="2">
    <dataValidation sqref="C5" showDropDown="0" showInputMessage="0" showErrorMessage="0" allowBlank="0" type="list">
      <formula1>"ICN-HKG,ICN-LAX,HKG-ICN"</formula1>
    </dataValidation>
    <dataValidation sqref="C33" showDropDown="0" showInputMessage="0" showErrorMessage="0" allowBlank="0" type="list">
      <formula1>"USD,HKD"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G54"/>
  <sheetViews>
    <sheetView showGridLines="0" tabSelected="1" topLeftCell="A13" workbookViewId="0">
      <selection activeCell="E9" sqref="E9:G9"/>
    </sheetView>
  </sheetViews>
  <sheetFormatPr baseColWidth="8" defaultRowHeight="17.4"/>
  <cols>
    <col width="2" customWidth="1" style="62" min="1" max="1"/>
    <col width="16" customWidth="1" style="62" min="2" max="2"/>
    <col width="20" customWidth="1" style="62" min="3" max="3"/>
    <col width="12" customWidth="1" style="62" min="4" max="4"/>
    <col width="14" customWidth="1" style="62" min="5" max="6"/>
    <col width="14" customWidth="1" style="62" min="6" max="6"/>
    <col width="12" customWidth="1" style="62" min="7" max="7"/>
    <col width="2.5" customWidth="1" style="62" min="8" max="8"/>
  </cols>
  <sheetData>
    <row r="2" ht="25.95" customHeight="1" s="62">
      <c r="B2" s="104" t="inlineStr">
        <is>
          <t>WAC Logistics</t>
        </is>
      </c>
      <c r="C2" s="68" t="n"/>
      <c r="D2" s="68" t="n"/>
      <c r="E2" s="68" t="n"/>
      <c r="F2" s="68" t="n"/>
      <c r="G2" s="66" t="n"/>
    </row>
    <row r="3" ht="24" customHeight="1" s="62">
      <c r="B3" s="64" t="inlineStr">
        <is>
          <t>AIR FREIGHT QUOTATION</t>
        </is>
      </c>
    </row>
    <row r="4" ht="19.95" customHeight="1" s="62">
      <c r="B4" s="115" t="inlineStr">
        <is>
          <t>Approximate quote · Not a final invoice</t>
        </is>
      </c>
    </row>
    <row r="5" ht="19.95" customHeight="1" s="62"/>
    <row r="6" ht="19.95" customHeight="1" s="62">
      <c r="B6" s="110" t="inlineStr">
        <is>
          <t>Shipment</t>
        </is>
      </c>
      <c r="C6" s="68" t="n"/>
      <c r="D6" s="68" t="n"/>
      <c r="E6" s="68" t="n"/>
      <c r="F6" s="68" t="n"/>
      <c r="G6" s="66" t="n"/>
    </row>
    <row r="7" ht="19.95" customHeight="1" s="62">
      <c r="B7" s="10" t="inlineStr">
        <is>
          <t>Route</t>
        </is>
      </c>
      <c r="C7" s="20">
        <f>입력!C5</f>
        <v/>
      </c>
      <c r="D7" s="10" t="inlineStr">
        <is>
          <t>B/L</t>
        </is>
      </c>
      <c r="E7" s="21">
        <f>입력!F5</f>
        <v/>
      </c>
      <c r="F7" s="10" t="inlineStr">
        <is>
          <t>Currency</t>
        </is>
      </c>
      <c r="G7" s="20">
        <f>입력!C33</f>
        <v/>
      </c>
    </row>
    <row r="8" ht="19.95" customHeight="1" s="62">
      <c r="B8" s="10" t="inlineStr">
        <is>
          <t>CBM</t>
        </is>
      </c>
      <c r="C8" s="117">
        <f>입력!M13</f>
        <v/>
      </c>
      <c r="D8" s="25" t="inlineStr">
        <is>
          <t>C.W.</t>
        </is>
      </c>
      <c r="E8" s="22">
        <f>입력!M14</f>
        <v/>
      </c>
      <c r="F8" s="10" t="inlineStr">
        <is>
          <t>Break</t>
        </is>
      </c>
      <c r="G8" s="20">
        <f>입력!C21</f>
        <v/>
      </c>
    </row>
    <row r="9" ht="19.95" customHeight="1" s="62">
      <c r="B9" s="49" t="inlineStr">
        <is>
          <t>Carrier</t>
        </is>
      </c>
      <c r="C9" s="50">
        <f>입력!C37</f>
        <v/>
      </c>
      <c r="D9" s="49" t="inlineStr">
        <is>
          <t>Valid until</t>
        </is>
      </c>
      <c r="E9" s="109">
        <f>입력!C39</f>
        <v/>
      </c>
      <c r="F9" s="68" t="n"/>
      <c r="G9" s="66" t="n"/>
    </row>
    <row r="10" ht="19.95" customHeight="1" s="62">
      <c r="B10" s="110" t="inlineStr">
        <is>
          <t>Cargo</t>
        </is>
      </c>
      <c r="C10" s="68" t="n"/>
      <c r="D10" s="68" t="n"/>
      <c r="E10" s="68" t="n"/>
      <c r="F10" s="68" t="n"/>
      <c r="G10" s="66" t="n"/>
    </row>
    <row r="11" ht="19.95" customHeight="1" s="62">
      <c r="B11" s="19" t="inlineStr">
        <is>
          <t>#</t>
        </is>
      </c>
      <c r="C11" s="19" t="inlineStr">
        <is>
          <t>Dimensions (cm)</t>
        </is>
      </c>
      <c r="D11" s="19" t="inlineStr">
        <is>
          <t>Qty</t>
        </is>
      </c>
      <c r="E11" s="19" t="inlineStr">
        <is>
          <t>Gross</t>
        </is>
      </c>
      <c r="F11" s="19" t="inlineStr">
        <is>
          <t>CBM</t>
        </is>
      </c>
      <c r="G11" s="19" t="inlineStr">
        <is>
          <t>C.W.</t>
        </is>
      </c>
    </row>
    <row r="12" ht="19.95" customHeight="1" s="62">
      <c r="B12" s="23" t="n">
        <v>1</v>
      </c>
      <c r="C12" s="20">
        <f>IFERROR(IF(입력!C8="","",입력!C8&amp;" × "&amp;입력!C9&amp;" × "&amp;입력!C10),"")</f>
        <v/>
      </c>
      <c r="D12" s="21">
        <f>IFERROR(IF(입력!C11="","",입력!C11),"")</f>
        <v/>
      </c>
      <c r="E12" s="21">
        <f>IFERROR(IF(입력!C12="","",입력!C12),"")</f>
        <v/>
      </c>
      <c r="F12" s="117">
        <f>IFERROR(IF(입력!C13="","",입력!C13),"")</f>
        <v/>
      </c>
      <c r="G12" s="22">
        <f>IFERROR(IF(입력!C14="","",입력!C14),"")</f>
        <v/>
      </c>
    </row>
    <row r="13" ht="19.95" customHeight="1" s="62">
      <c r="B13" s="23" t="n">
        <v>2</v>
      </c>
      <c r="C13" s="20">
        <f>IFERROR(IF(입력!D8="","",입력!D8&amp;" × "&amp;입력!D9&amp;" × "&amp;입력!D10),"")</f>
        <v/>
      </c>
      <c r="D13" s="21">
        <f>IFERROR(IF(입력!D11="","",입력!D11),"")</f>
        <v/>
      </c>
      <c r="E13" s="21">
        <f>IFERROR(IF(입력!D12="","",입력!D12),"")</f>
        <v/>
      </c>
      <c r="F13" s="117">
        <f>IFERROR(IF(입력!D13="","",입력!D13),"")</f>
        <v/>
      </c>
      <c r="G13" s="22">
        <f>IFERROR(IF(입력!D14="","",입력!D14),"")</f>
        <v/>
      </c>
    </row>
    <row r="14" ht="19.95" customHeight="1" s="62">
      <c r="B14" s="23" t="n">
        <v>3</v>
      </c>
      <c r="C14" s="20">
        <f>IFERROR(IF(입력!E8="","",입력!E8&amp;" × "&amp;입력!E9&amp;" × "&amp;입력!E10),"")</f>
        <v/>
      </c>
      <c r="D14" s="21">
        <f>IFERROR(IF(입력!E11="","",입력!E11),"")</f>
        <v/>
      </c>
      <c r="E14" s="21">
        <f>IFERROR(IF(입력!E12="","",입력!E12),"")</f>
        <v/>
      </c>
      <c r="F14" s="117">
        <f>IFERROR(IF(입력!E13="","",입력!E13),"")</f>
        <v/>
      </c>
      <c r="G14" s="22">
        <f>IFERROR(IF(입력!E14="","",입력!E14),"")</f>
        <v/>
      </c>
    </row>
    <row r="15" ht="19.95" customHeight="1" s="62">
      <c r="B15" s="23" t="n">
        <v>4</v>
      </c>
      <c r="C15" s="20">
        <f>IFERROR(IF(입력!F8="","",입력!F8&amp;" × "&amp;입력!F9&amp;" × "&amp;입력!F10),"")</f>
        <v/>
      </c>
      <c r="D15" s="21">
        <f>IFERROR(IF(입력!F11="","",입력!F11),"")</f>
        <v/>
      </c>
      <c r="E15" s="21">
        <f>IFERROR(IF(입력!F12="","",입력!F12),"")</f>
        <v/>
      </c>
      <c r="F15" s="117">
        <f>IFERROR(IF(입력!F13="","",입력!F13),"")</f>
        <v/>
      </c>
      <c r="G15" s="22">
        <f>IFERROR(IF(입력!F14="","",입력!F14),"")</f>
        <v/>
      </c>
    </row>
    <row r="16" ht="19.95" customHeight="1" s="62">
      <c r="B16" s="23" t="n">
        <v>5</v>
      </c>
      <c r="C16" s="20">
        <f>IFERROR(IF(입력!G8="","",입력!G8&amp;" × "&amp;입력!G9&amp;" × "&amp;입력!G10),"")</f>
        <v/>
      </c>
      <c r="D16" s="21">
        <f>IFERROR(IF(입력!G11="","",입력!G11),"")</f>
        <v/>
      </c>
      <c r="E16" s="21">
        <f>IFERROR(IF(입력!G12="","",입력!G12),"")</f>
        <v/>
      </c>
      <c r="F16" s="117">
        <f>IFERROR(IF(입력!G13="","",입력!G13),"")</f>
        <v/>
      </c>
      <c r="G16" s="22">
        <f>IFERROR(IF(입력!G14="","",입력!G14),"")</f>
        <v/>
      </c>
    </row>
    <row r="17" ht="19.95" customHeight="1" s="62">
      <c r="B17" s="23" t="n">
        <v>6</v>
      </c>
      <c r="C17" s="20">
        <f>IFERROR(IF(입력!H8="","",입력!H8&amp;" × "&amp;입력!H9&amp;" × "&amp;입력!H10),"")</f>
        <v/>
      </c>
      <c r="D17" s="21">
        <f>IFERROR(IF(입력!H11="","",입력!H11),"")</f>
        <v/>
      </c>
      <c r="E17" s="21">
        <f>IFERROR(IF(입력!H12="","",입력!H12),"")</f>
        <v/>
      </c>
      <c r="F17" s="117">
        <f>IFERROR(IF(입력!H13="","",입력!H13),"")</f>
        <v/>
      </c>
      <c r="G17" s="22">
        <f>IFERROR(IF(입력!H14="","",입력!H14),"")</f>
        <v/>
      </c>
    </row>
    <row r="18" ht="19.95" customHeight="1" s="62">
      <c r="B18" s="23" t="n">
        <v>7</v>
      </c>
      <c r="C18" s="20">
        <f>IFERROR(IF(입력!I8="","",입력!I8&amp;" × "&amp;입력!I9&amp;" × "&amp;입력!I10),"")</f>
        <v/>
      </c>
      <c r="D18" s="21">
        <f>IFERROR(IF(입력!I11="","",입력!I11),"")</f>
        <v/>
      </c>
      <c r="E18" s="21">
        <f>IFERROR(IF(입력!I12="","",입력!I12),"")</f>
        <v/>
      </c>
      <c r="F18" s="117">
        <f>IFERROR(IF(입력!I13="","",입력!I13),"")</f>
        <v/>
      </c>
      <c r="G18" s="22">
        <f>IFERROR(IF(입력!I14="","",입력!I14),"")</f>
        <v/>
      </c>
    </row>
    <row r="19" ht="19.95" customHeight="1" s="62">
      <c r="B19" s="23" t="n">
        <v>8</v>
      </c>
      <c r="C19" s="20">
        <f>IFERROR(IF(입력!J8="","",입력!J8&amp;" × "&amp;입력!J9&amp;" × "&amp;입력!J10),"")</f>
        <v/>
      </c>
      <c r="D19" s="21">
        <f>IFERROR(IF(입력!J11="","",입력!J11),"")</f>
        <v/>
      </c>
      <c r="E19" s="21">
        <f>IFERROR(IF(입력!J12="","",입력!J12),"")</f>
        <v/>
      </c>
      <c r="F19" s="117">
        <f>IFERROR(IF(입력!J13="","",입력!J13),"")</f>
        <v/>
      </c>
      <c r="G19" s="22">
        <f>IFERROR(IF(입력!J14="","",입력!J14),"")</f>
        <v/>
      </c>
    </row>
    <row r="20" ht="19.95" customHeight="1" s="62">
      <c r="B20" s="23" t="n">
        <v>9</v>
      </c>
      <c r="C20" s="20">
        <f>IFERROR(IF(입력!K8="","",입력!K8&amp;" × "&amp;입력!K9&amp;" × "&amp;입력!K10),"")</f>
        <v/>
      </c>
      <c r="D20" s="21">
        <f>IFERROR(IF(입력!K11="","",입력!K11),"")</f>
        <v/>
      </c>
      <c r="E20" s="21">
        <f>IFERROR(IF(입력!K12="","",입력!K12),"")</f>
        <v/>
      </c>
      <c r="F20" s="117">
        <f>IFERROR(IF(입력!K13="","",입력!K13),"")</f>
        <v/>
      </c>
      <c r="G20" s="22">
        <f>IFERROR(IF(입력!K14="","",입력!K14),"")</f>
        <v/>
      </c>
    </row>
    <row r="21" ht="19.95" customHeight="1" s="62">
      <c r="B21" s="23" t="n">
        <v>10</v>
      </c>
      <c r="C21" s="20">
        <f>IFERROR(IF(입력!L8="","",입력!L8&amp;" × "&amp;입력!L9&amp;" × "&amp;입력!L10),"")</f>
        <v/>
      </c>
      <c r="D21" s="21">
        <f>IFERROR(IF(입력!L11="","",입력!L11),"")</f>
        <v/>
      </c>
      <c r="E21" s="21">
        <f>IFERROR(IF(입력!L12="","",입력!L12),"")</f>
        <v/>
      </c>
      <c r="F21" s="117">
        <f>IFERROR(IF(입력!L13="","",입력!L13),"")</f>
        <v/>
      </c>
      <c r="G21" s="22">
        <f>IFERROR(IF(입력!L14="","",입력!L14),"")</f>
        <v/>
      </c>
    </row>
    <row r="22" ht="19.95" customHeight="1" s="62">
      <c r="B22" s="113" t="inlineStr">
        <is>
          <t>TOTAL</t>
        </is>
      </c>
      <c r="C22" s="68" t="n"/>
      <c r="D22" s="68" t="n"/>
      <c r="E22" s="66" t="n"/>
      <c r="F22" s="121">
        <f>입력!M13</f>
        <v/>
      </c>
      <c r="G22" s="22">
        <f>입력!M14</f>
        <v/>
      </c>
    </row>
    <row r="23" ht="36" customHeight="1" s="62">
      <c r="B23" s="51" t="inlineStr">
        <is>
          <t>Remark</t>
        </is>
      </c>
      <c r="C23" s="116">
        <f>입력!C38</f>
        <v/>
      </c>
      <c r="D23" s="68" t="n"/>
      <c r="E23" s="68" t="n"/>
      <c r="F23" s="68" t="n"/>
      <c r="G23" s="66" t="n"/>
    </row>
    <row r="24" ht="19.95" customHeight="1" s="62">
      <c r="B24" s="114" t="inlineStr">
        <is>
          <t>Charges</t>
        </is>
      </c>
      <c r="C24" s="68" t="n"/>
      <c r="D24" s="68" t="n"/>
      <c r="E24" s="68" t="n"/>
      <c r="F24" s="68" t="n"/>
      <c r="G24" s="66" t="n"/>
    </row>
    <row r="25" ht="19.95" customHeight="1" s="62">
      <c r="B25" s="112" t="inlineStr">
        <is>
          <t>Description</t>
        </is>
      </c>
      <c r="C25" s="68" t="n"/>
      <c r="D25" s="68" t="n"/>
      <c r="E25" s="66" t="n"/>
      <c r="F25" s="107" t="inlineStr">
        <is>
          <t>Amount</t>
        </is>
      </c>
      <c r="G25" s="93" t="n"/>
    </row>
    <row r="26" ht="19.95" customHeight="1" s="62">
      <c r="B26" s="108">
        <f>입력!E18</f>
        <v/>
      </c>
      <c r="C26" s="68" t="n"/>
      <c r="D26" s="68" t="n"/>
      <c r="E26" s="66" t="n"/>
      <c r="F26" s="105">
        <f>IFERROR(IF(입력!J18="",입력!I18,입력!J18)*IF(입력!C33="HKD",입력!C34,1),"")</f>
        <v/>
      </c>
      <c r="G26" s="106" t="n"/>
    </row>
    <row r="27" ht="19.95" customHeight="1" s="62">
      <c r="B27" s="108">
        <f>입력!E19</f>
        <v/>
      </c>
      <c r="C27" s="68" t="n"/>
      <c r="D27" s="68" t="n"/>
      <c r="E27" s="66" t="n"/>
      <c r="F27" s="105">
        <f>IFERROR(IF(입력!J19="",입력!I19,입력!J19)*IF(입력!C33="HKD",입력!C34,1),"")</f>
        <v/>
      </c>
      <c r="G27" s="106" t="n"/>
    </row>
    <row r="28" ht="31.95" customHeight="1" s="62">
      <c r="B28" s="108">
        <f>입력!E20</f>
        <v/>
      </c>
      <c r="C28" s="68" t="n"/>
      <c r="D28" s="68" t="n"/>
      <c r="E28" s="66" t="n"/>
      <c r="F28" s="105">
        <f>IFERROR(IF(입력!J20="",입력!I20,입력!J20)*IF(입력!C33="HKD",입력!C34,1),"")</f>
        <v/>
      </c>
      <c r="G28" s="106" t="n"/>
    </row>
    <row r="29" ht="19.95" customHeight="1" s="62">
      <c r="B29" s="108">
        <f>입력!E21</f>
        <v/>
      </c>
      <c r="C29" s="68" t="n"/>
      <c r="D29" s="68" t="n"/>
      <c r="E29" s="66" t="n"/>
      <c r="F29" s="105">
        <f>IFERROR(IF(입력!J21="",입력!I21,입력!J21)*IF(입력!C33="HKD",입력!C34,1),"")</f>
        <v/>
      </c>
      <c r="G29" s="106" t="n"/>
    </row>
    <row r="30" ht="19.95" customHeight="1" s="62">
      <c r="B30" s="108">
        <f>입력!E22</f>
        <v/>
      </c>
      <c r="C30" s="68" t="n"/>
      <c r="D30" s="68" t="n"/>
      <c r="E30" s="66" t="n"/>
      <c r="F30" s="105">
        <f>IFERROR(IF(입력!J22="",입력!I22,입력!J22)*IF(입력!C33="HKD",입력!C34,1),"")</f>
        <v/>
      </c>
      <c r="G30" s="106" t="n"/>
    </row>
    <row r="31" ht="19.95" customHeight="1" s="62">
      <c r="B31" s="108">
        <f>입력!E23</f>
        <v/>
      </c>
      <c r="C31" s="68" t="n"/>
      <c r="D31" s="68" t="n"/>
      <c r="E31" s="66" t="n"/>
      <c r="F31" s="105">
        <f>IFERROR(IF(입력!J23="",입력!I23,입력!J23)*IF(입력!C33="HKD",입력!C34,1),"")</f>
        <v/>
      </c>
      <c r="G31" s="106" t="n"/>
    </row>
    <row r="32" ht="19.95" customHeight="1" s="62">
      <c r="B32" s="108">
        <f>입력!E24</f>
        <v/>
      </c>
      <c r="C32" s="68" t="n"/>
      <c r="D32" s="68" t="n"/>
      <c r="E32" s="66" t="n"/>
      <c r="F32" s="105">
        <f>IFERROR(IF(입력!J24="",입력!I24,입력!J24)*IF(입력!C33="HKD",입력!C34,1),"")</f>
        <v/>
      </c>
      <c r="G32" s="106" t="n"/>
    </row>
    <row r="33" ht="19.95" customHeight="1" s="62">
      <c r="B33" s="108">
        <f>입력!E25</f>
        <v/>
      </c>
      <c r="C33" s="68" t="n"/>
      <c r="D33" s="68" t="n"/>
      <c r="E33" s="66" t="n"/>
      <c r="F33" s="105">
        <f>IFERROR(IF(입력!J25="",입력!I25,입력!J25)*IF(입력!C33="HKD",입력!C34,1),"")</f>
        <v/>
      </c>
      <c r="G33" s="106" t="n"/>
    </row>
    <row r="34" ht="19.95" customHeight="1" s="62">
      <c r="B34" s="108">
        <f>입력!E26</f>
        <v/>
      </c>
      <c r="C34" s="68" t="n"/>
      <c r="D34" s="68" t="n"/>
      <c r="E34" s="66" t="n"/>
      <c r="F34" s="105">
        <f>IFERROR(IF(입력!J26="",입력!I26,입력!J26)*IF(입력!C33="HKD",입력!C34,1),"")</f>
        <v/>
      </c>
      <c r="G34" s="106" t="n"/>
    </row>
    <row r="35" ht="19.95" customHeight="1" s="62">
      <c r="B35" s="108">
        <f>입력!E27</f>
        <v/>
      </c>
      <c r="C35" s="68" t="n"/>
      <c r="D35" s="68" t="n"/>
      <c r="E35" s="66" t="n"/>
      <c r="F35" s="105">
        <f>IFERROR(IF(입력!J27="",입력!I27,입력!J27)*IF(입력!C33="HKD",입력!C34,1),"")</f>
        <v/>
      </c>
      <c r="G35" s="106" t="n"/>
    </row>
    <row r="36" ht="19.95" customHeight="1" s="62">
      <c r="B36" s="108">
        <f>입력!E28</f>
        <v/>
      </c>
      <c r="C36" s="68" t="n"/>
      <c r="D36" s="68" t="n"/>
      <c r="E36" s="66" t="n"/>
      <c r="F36" s="105">
        <f>IFERROR(IF(입력!J28="",입력!I28,입력!J28)*IF(입력!C33="HKD",입력!C34,1),"")</f>
        <v/>
      </c>
      <c r="G36" s="106" t="n"/>
    </row>
    <row r="37" ht="19.95" customHeight="1" s="62">
      <c r="B37" s="108">
        <f>입력!E29</f>
        <v/>
      </c>
      <c r="C37" s="68" t="n"/>
      <c r="D37" s="68" t="n"/>
      <c r="E37" s="66" t="n"/>
      <c r="F37" s="105">
        <f>IFERROR(IF(입력!J29="",입력!I29,입력!J29)*IF(입력!C33="HKD",입력!C34,1),"")</f>
        <v/>
      </c>
      <c r="G37" s="106" t="n"/>
    </row>
    <row r="38" ht="19.95" customHeight="1" s="62">
      <c r="B38" s="108">
        <f>입력!E30</f>
        <v/>
      </c>
      <c r="C38" s="68" t="n"/>
      <c r="D38" s="68" t="n"/>
      <c r="E38" s="66" t="n"/>
      <c r="F38" s="105">
        <f>IFERROR(IF(입력!J30="",입력!I30,입력!J30)*IF(입력!C33="HKD",입력!C34,1),"")</f>
        <v/>
      </c>
      <c r="G38" s="106" t="n"/>
    </row>
    <row r="39" ht="28" customHeight="1" s="62">
      <c r="B39" s="88" t="inlineStr">
        <is>
          <t>TOTAL APPX. AMOUNT</t>
        </is>
      </c>
      <c r="C39" s="68" t="n"/>
      <c r="D39" s="68" t="n"/>
      <c r="E39" s="66" t="n"/>
      <c r="F39" s="84">
        <f>입력!I31</f>
        <v/>
      </c>
      <c r="G39" s="111" t="n"/>
    </row>
    <row r="40" ht="28" customHeight="1" s="62">
      <c r="B40" s="34" t="n"/>
      <c r="C40" s="34" t="n"/>
      <c r="D40" s="34" t="n"/>
      <c r="E40" s="34" t="n"/>
      <c r="F40" s="91" t="n"/>
      <c r="G40" s="93" t="n"/>
    </row>
    <row r="41">
      <c r="B41" s="34" t="n"/>
      <c r="C41" s="34" t="n"/>
      <c r="D41" s="34" t="n"/>
      <c r="E41" s="34" t="n"/>
      <c r="F41" s="34" t="n"/>
      <c r="G41" s="34" t="n"/>
    </row>
    <row r="42" ht="20" customHeight="1" s="62">
      <c r="B42" s="61" t="inlineStr">
        <is>
          <t>This quotation is indicative and subject to confirmation.</t>
        </is>
      </c>
    </row>
    <row r="43">
      <c r="B43" s="34" t="n"/>
      <c r="C43" s="34" t="n"/>
      <c r="D43" s="34" t="n"/>
      <c r="E43" s="34" t="n"/>
      <c r="F43" s="34" t="n"/>
      <c r="G43" s="34" t="n"/>
    </row>
    <row r="44">
      <c r="B44" s="34" t="n"/>
      <c r="C44" s="34" t="n"/>
      <c r="D44" s="34" t="n"/>
      <c r="E44" s="34" t="n"/>
      <c r="F44" s="34" t="n"/>
      <c r="G44" s="34" t="n"/>
    </row>
    <row r="45">
      <c r="B45" s="34" t="n"/>
      <c r="C45" s="34" t="n"/>
      <c r="D45" s="34" t="n"/>
      <c r="E45" s="34" t="n"/>
      <c r="F45" s="34" t="n"/>
      <c r="G45" s="34" t="n"/>
    </row>
    <row r="46">
      <c r="B46" s="34" t="n"/>
      <c r="C46" s="34" t="n"/>
      <c r="D46" s="34" t="n"/>
      <c r="E46" s="34" t="n"/>
      <c r="F46" s="34" t="n"/>
      <c r="G46" s="34" t="n"/>
    </row>
    <row r="47">
      <c r="B47" s="34" t="n"/>
      <c r="C47" s="34" t="n"/>
      <c r="D47" s="34" t="n"/>
      <c r="E47" s="34" t="n"/>
      <c r="F47" s="34" t="n"/>
      <c r="G47" s="34" t="n"/>
    </row>
    <row r="48">
      <c r="B48" s="34" t="n"/>
      <c r="C48" s="34" t="n"/>
      <c r="D48" s="34" t="n"/>
      <c r="E48" s="34" t="n"/>
      <c r="F48" s="34" t="n"/>
      <c r="G48" s="34" t="n"/>
    </row>
    <row r="49">
      <c r="B49" s="34" t="n"/>
      <c r="C49" s="34" t="n"/>
      <c r="D49" s="34" t="n"/>
      <c r="E49" s="34" t="n"/>
      <c r="F49" s="34" t="n"/>
      <c r="G49" s="34" t="n"/>
    </row>
    <row r="50">
      <c r="B50" s="34" t="n"/>
      <c r="C50" s="34" t="n"/>
      <c r="D50" s="34" t="n"/>
      <c r="E50" s="34" t="n"/>
      <c r="F50" s="34" t="n"/>
      <c r="G50" s="34" t="n"/>
    </row>
    <row r="51">
      <c r="B51" s="34" t="n"/>
      <c r="C51" s="34" t="n"/>
      <c r="D51" s="34" t="n"/>
      <c r="E51" s="34" t="n"/>
      <c r="F51" s="34" t="n"/>
      <c r="G51" s="34" t="n"/>
    </row>
    <row r="52">
      <c r="B52" s="34" t="n"/>
      <c r="C52" s="34" t="n"/>
      <c r="D52" s="34" t="n"/>
      <c r="E52" s="34" t="n"/>
      <c r="F52" s="34" t="n"/>
      <c r="G52" s="34" t="n"/>
    </row>
    <row r="53">
      <c r="B53" s="34" t="n"/>
      <c r="C53" s="34" t="n"/>
      <c r="D53" s="34" t="n"/>
      <c r="E53" s="34" t="n"/>
      <c r="F53" s="34" t="n"/>
      <c r="G53" s="34" t="n"/>
    </row>
    <row r="54">
      <c r="B54" s="34" t="n"/>
      <c r="C54" s="34" t="n"/>
      <c r="D54" s="34" t="n"/>
      <c r="E54" s="34" t="n"/>
      <c r="F54" s="34" t="n"/>
      <c r="G54" s="34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0">
    <mergeCell ref="B2:G2"/>
    <mergeCell ref="B42:G42"/>
    <mergeCell ref="F29:G29"/>
    <mergeCell ref="F25:G25"/>
    <mergeCell ref="B30:E30"/>
    <mergeCell ref="F34:G34"/>
    <mergeCell ref="B33:E33"/>
    <mergeCell ref="E9:G9"/>
    <mergeCell ref="B36:E36"/>
    <mergeCell ref="B32:E32"/>
    <mergeCell ref="B26:E26"/>
    <mergeCell ref="B10:G10"/>
    <mergeCell ref="F30:G30"/>
    <mergeCell ref="B35:E35"/>
    <mergeCell ref="F39:G40"/>
    <mergeCell ref="F33:G33"/>
    <mergeCell ref="B25:E25"/>
    <mergeCell ref="F36:G36"/>
    <mergeCell ref="F32:G32"/>
    <mergeCell ref="F26:G26"/>
    <mergeCell ref="B22:E22"/>
    <mergeCell ref="F35:G35"/>
    <mergeCell ref="B6:G6"/>
    <mergeCell ref="B24:G24"/>
    <mergeCell ref="B31:E31"/>
    <mergeCell ref="B27:E27"/>
    <mergeCell ref="F38:G38"/>
    <mergeCell ref="F31:G31"/>
    <mergeCell ref="B4:G4"/>
    <mergeCell ref="B39:E39"/>
    <mergeCell ref="F28:G28"/>
    <mergeCell ref="C23:G23"/>
    <mergeCell ref="F27:G27"/>
    <mergeCell ref="B3:G3"/>
    <mergeCell ref="F37:G37"/>
    <mergeCell ref="B38:E38"/>
    <mergeCell ref="B29:E29"/>
    <mergeCell ref="B37:E37"/>
    <mergeCell ref="B28:E28"/>
    <mergeCell ref="B34:E34"/>
  </mergeCells>
  <printOptions horizontalCentered="1"/>
  <pageMargins left="0.4" right="0.4" top="0.5" bottom="0.5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2026-08-11T03:35:48Z</dcterms:created>
  <dcterms:modified xmlns:dcterms="http://purl.org/dc/terms/" xmlns:xsi="http://www.w3.org/2001/XMLSchema-instance" xsi:type="dcterms:W3CDTF">2026-08-19T11:08:42Z</dcterms:modified>
  <cp:lastModifiedBy>옥현서(***2***048)</cp:lastModifiedBy>
</cp:coreProperties>
</file>